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Lists" sheetId="2" state="visible" r:id="rId2"/>
    <sheet xmlns:r="http://schemas.openxmlformats.org/officeDocument/2006/relationships" name="Projects" sheetId="3" state="visible" r:id="rId3"/>
    <sheet xmlns:r="http://schemas.openxmlformats.org/officeDocument/2006/relationships" name="Allocations" sheetId="4" state="visible" r:id="rId4"/>
    <sheet xmlns:r="http://schemas.openxmlformats.org/officeDocument/2006/relationships" name="Summary" sheetId="5" state="visible" r:id="rId5"/>
  </sheets>
  <definedNames>
    <definedName name="DevelopersList">Lists!$A$2:$A$50</definedName>
    <definedName name="MonthsList">Lists!$B$2:$B$13</definedName>
    <definedName name="ProjectsList">Projects!$A$2:$A$50</definedName>
    <definedName name="BlendRate">Lists!$G$1</definedName>
    <definedName name="Mandays">Lists!$G$2</definedName>
    <definedName name="DevRateTable">Lists!$A$3:$C$4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&quot;SGD&quot; #,##0"/>
  </numFmts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b val="1"/>
      <sz val="16"/>
    </font>
    <font>
      <i val="1"/>
      <color rgb="00666666"/>
    </font>
    <font>
      <b val="1"/>
      <sz val="12"/>
    </font>
    <font/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1" fontId="0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/>
    </xf>
    <xf numFmtId="0" fontId="2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3" fillId="3" borderId="1" pivotButton="0" quotePrefix="0" xfId="0"/>
    <xf numFmtId="2" fontId="3" fillId="3" borderId="1" pivotButton="0" quotePrefix="0" xfId="0"/>
    <xf numFmtId="0" fontId="5" fillId="0" borderId="0" pivotButton="0" quotePrefix="0" xfId="0"/>
    <xf numFmtId="164" fontId="0" fillId="0" borderId="0" pivotButton="0" quotePrefix="0" xfId="0"/>
    <xf numFmtId="0" fontId="6" fillId="0" borderId="0" pivotButton="0" quotePrefix="0" xfId="0"/>
    <xf numFmtId="1" fontId="5" fillId="0" borderId="0" pivotButton="0" quotePrefix="0" xfId="0"/>
    <xf numFmtId="1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2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2" pivotButton="0" quotePrefix="0" xfId="0"/>
    <xf numFmtId="165" fontId="0" fillId="0" borderId="2" pivotButton="0" quotePrefix="0" xfId="0"/>
    <xf numFmtId="0" fontId="1" fillId="2" borderId="2" applyAlignment="1" pivotButton="0" quotePrefix="0" xfId="0">
      <alignment horizontal="center" vertical="center"/>
    </xf>
    <xf numFmtId="165" fontId="1" fillId="2" borderId="2" applyAlignment="1" pivotButton="0" quotePrefix="0" xfId="0">
      <alignment horizontal="center" vertical="center"/>
    </xf>
    <xf numFmtId="0" fontId="6" fillId="0" borderId="2" pivotButton="0" quotePrefix="0" xfId="0"/>
    <xf numFmtId="0" fontId="3" fillId="2" borderId="0" applyAlignment="1" pivotButton="0" quotePrefix="0" xfId="0">
      <alignment horizontal="center" vertical="center"/>
    </xf>
    <xf numFmtId="0" fontId="7" fillId="0" borderId="0" pivotButton="0" quotePrefix="0" xfId="0"/>
    <xf numFmtId="1" fontId="7" fillId="0" borderId="0" pivotButton="0" quotePrefix="0" xfId="0"/>
    <xf numFmtId="0" fontId="7" fillId="0" borderId="0" applyAlignment="1" pivotButton="0" quotePrefix="0" xfId="0">
      <alignment horizontal="center" vertical="center"/>
    </xf>
    <xf numFmtId="2" fontId="7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F2F2F2"/>
        </patternFill>
      </fill>
    </dxf>
    <dxf>
      <fill>
        <patternFill patternType="solid">
          <fgColor rgb="00C00000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D96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Yearly Project Plan Template (Sample)</t>
        </is>
      </c>
    </row>
    <row r="3">
      <c r="A3" s="2" t="inlineStr">
        <is>
          <t>How to use:</t>
        </is>
      </c>
    </row>
    <row r="4">
      <c r="A4" s="3" t="inlineStr">
        <is>
          <t>1) Projects sheet: define each project's Start Month and End Month (Jan–Dec). StartIdx/EndIdx/Duration are calculated.</t>
        </is>
      </c>
    </row>
    <row r="5">
      <c r="A5" s="3" t="inlineStr">
        <is>
          <t>2) Allocations sheet: add one row per Developer–Project assignment. Choose Developer and Project from dropdowns.</t>
        </is>
      </c>
    </row>
    <row r="6">
      <c r="A6" s="3" t="inlineStr">
        <is>
          <t>3) Enter monthly effort as a fraction (0.00 to 1.00). You can only enter effort within the project's active months.</t>
        </is>
      </c>
    </row>
    <row r="7">
      <c r="A7" s="3" t="inlineStr">
        <is>
          <t xml:space="preserve">   • Outside active months: cell must be blank (validated) and is shaded grey.</t>
        </is>
      </c>
    </row>
    <row r="8">
      <c r="A8" s="3" t="inlineStr">
        <is>
          <t>4) Summary sheet: project totals by month + developer utilization by month (cells turn red if utilization is &lt;1 or &gt;1).</t>
        </is>
      </c>
    </row>
    <row r="9">
      <c r="A9" s="3" t="inlineStr">
        <is>
          <t>Tip: Add more developers on the Lists sheet and more projects on the Projects sheet—dropdowns update automatically.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4" t="inlineStr">
        <is>
          <t>Developers</t>
        </is>
      </c>
      <c r="B1" s="4" t="inlineStr">
        <is>
          <t>Months</t>
        </is>
      </c>
      <c r="F1" s="2" t="inlineStr">
        <is>
          <t>BlendRate</t>
        </is>
      </c>
      <c r="G1" s="19" t="n">
        <v>500</v>
      </c>
      <c r="H1" s="29" t="n"/>
      <c r="I1" s="30" t="n"/>
      <c r="J1" s="29" t="n"/>
      <c r="K1" s="30" t="n"/>
      <c r="L1" t="inlineStr">
        <is>
          <t>Mandays</t>
        </is>
      </c>
    </row>
    <row r="2">
      <c r="A2" s="22" t="inlineStr">
        <is>
          <t>Developer</t>
        </is>
      </c>
      <c r="B2" t="inlineStr">
        <is>
          <t>Jan</t>
        </is>
      </c>
      <c r="C2" s="22" t="inlineStr">
        <is>
          <t>DailyRate</t>
        </is>
      </c>
      <c r="D2" s="22" t="inlineStr">
        <is>
          <t>RateRatio (Rate/Blend)</t>
        </is>
      </c>
      <c r="F2" s="2" t="inlineStr">
        <is>
          <t>Mandays</t>
        </is>
      </c>
      <c r="G2" s="19" t="n">
        <v>21</v>
      </c>
      <c r="H2" s="31" t="n"/>
      <c r="I2" s="31" t="n"/>
      <c r="J2" s="31" t="n"/>
      <c r="K2" s="29" t="n"/>
      <c r="L2" t="n">
        <v>20</v>
      </c>
    </row>
    <row r="3">
      <c r="A3" t="inlineStr">
        <is>
          <t>Dev 1</t>
        </is>
      </c>
      <c r="B3" t="inlineStr">
        <is>
          <t>Feb</t>
        </is>
      </c>
      <c r="C3" s="19" t="n">
        <v>500</v>
      </c>
      <c r="D3" s="21">
        <f>C3/$G$1</f>
        <v/>
      </c>
      <c r="H3" s="29" t="n"/>
      <c r="I3" s="30" t="n"/>
      <c r="J3" s="32" t="n"/>
      <c r="K3" s="29" t="n"/>
      <c r="L3" t="n">
        <v>20</v>
      </c>
    </row>
    <row r="4">
      <c r="A4" t="inlineStr">
        <is>
          <t>Dev 2</t>
        </is>
      </c>
      <c r="B4" t="inlineStr">
        <is>
          <t>Mar</t>
        </is>
      </c>
      <c r="C4" s="19" t="n">
        <v>600</v>
      </c>
      <c r="D4" s="21">
        <f>C4/$G$1</f>
        <v/>
      </c>
      <c r="H4" s="29" t="n"/>
      <c r="I4" s="30" t="n"/>
      <c r="J4" s="32" t="n"/>
      <c r="K4" s="29" t="n"/>
      <c r="L4" t="n">
        <v>20</v>
      </c>
    </row>
    <row r="5">
      <c r="B5" t="inlineStr">
        <is>
          <t>Apr</t>
        </is>
      </c>
      <c r="H5" s="29" t="n"/>
      <c r="I5" s="29" t="n"/>
      <c r="J5" s="29" t="n"/>
      <c r="K5" s="29" t="n"/>
      <c r="L5" t="n">
        <v>20</v>
      </c>
    </row>
    <row r="6">
      <c r="B6" t="inlineStr">
        <is>
          <t>May</t>
        </is>
      </c>
      <c r="H6" s="29" t="n"/>
      <c r="I6" s="29" t="n"/>
      <c r="J6" s="29" t="n"/>
      <c r="K6" s="29" t="n"/>
      <c r="L6" t="n">
        <v>20</v>
      </c>
    </row>
    <row r="7">
      <c r="B7" t="inlineStr">
        <is>
          <t>Jun</t>
        </is>
      </c>
      <c r="H7" s="29" t="n"/>
      <c r="I7" s="29" t="n"/>
      <c r="J7" s="29" t="n"/>
      <c r="K7" s="29" t="n"/>
      <c r="L7" t="n">
        <v>20</v>
      </c>
    </row>
    <row r="8">
      <c r="B8" t="inlineStr">
        <is>
          <t>Jul</t>
        </is>
      </c>
      <c r="H8" s="29" t="n"/>
      <c r="I8" s="29" t="n"/>
      <c r="J8" s="29" t="n"/>
      <c r="K8" s="29" t="n"/>
      <c r="L8" t="n">
        <v>20</v>
      </c>
    </row>
    <row r="9">
      <c r="B9" t="inlineStr">
        <is>
          <t>Aug</t>
        </is>
      </c>
      <c r="H9" s="29" t="n"/>
      <c r="I9" s="29" t="n"/>
      <c r="J9" s="29" t="n"/>
      <c r="K9" s="29" t="n"/>
      <c r="L9" t="n">
        <v>20</v>
      </c>
    </row>
    <row r="10">
      <c r="B10" t="inlineStr">
        <is>
          <t>Sep</t>
        </is>
      </c>
      <c r="H10" s="29" t="n"/>
      <c r="I10" s="29" t="n"/>
      <c r="J10" s="29" t="n"/>
      <c r="K10" s="29" t="n"/>
      <c r="L10" t="n">
        <v>20</v>
      </c>
    </row>
    <row r="11">
      <c r="B11" t="inlineStr">
        <is>
          <t>Oct</t>
        </is>
      </c>
      <c r="H11" s="29" t="n"/>
      <c r="I11" s="29" t="n"/>
      <c r="J11" s="29" t="n"/>
      <c r="K11" s="29" t="n"/>
      <c r="L11" t="n">
        <v>20</v>
      </c>
    </row>
    <row r="12">
      <c r="B12" t="inlineStr">
        <is>
          <t>Nov</t>
        </is>
      </c>
      <c r="H12" s="29" t="n"/>
      <c r="I12" s="29" t="n"/>
      <c r="J12" s="29" t="n"/>
      <c r="K12" s="29" t="n"/>
      <c r="L12" t="n">
        <v>20</v>
      </c>
    </row>
    <row r="13">
      <c r="B13" t="inlineStr">
        <is>
          <t>Dec</t>
        </is>
      </c>
      <c r="H13" s="29" t="n"/>
      <c r="I13" s="29" t="n"/>
      <c r="J13" s="29" t="n"/>
      <c r="K13" s="29" t="n"/>
      <c r="L13" t="n">
        <v>20</v>
      </c>
    </row>
    <row r="14">
      <c r="H14" s="29" t="n"/>
      <c r="I14" s="29" t="n"/>
      <c r="J14" s="29" t="n"/>
      <c r="K14" s="29" t="n"/>
      <c r="L14" t="n">
        <v>20</v>
      </c>
    </row>
    <row r="15">
      <c r="H15" s="29" t="n"/>
      <c r="I15" s="29" t="n"/>
      <c r="J15" s="29" t="n"/>
      <c r="K15" s="29" t="n"/>
      <c r="L15" t="n">
        <v>20</v>
      </c>
    </row>
    <row r="16">
      <c r="H16" s="29" t="n"/>
      <c r="I16" s="29" t="n"/>
      <c r="J16" s="29" t="n"/>
      <c r="K16" s="29" t="n"/>
      <c r="L16" t="n">
        <v>20</v>
      </c>
    </row>
    <row r="17">
      <c r="H17" s="29" t="n"/>
      <c r="I17" s="29" t="n"/>
      <c r="J17" s="29" t="n"/>
      <c r="K17" s="29" t="n"/>
      <c r="L17" t="n">
        <v>20</v>
      </c>
    </row>
    <row r="18">
      <c r="H18" s="29" t="n"/>
      <c r="I18" s="29" t="n"/>
      <c r="J18" s="29" t="n"/>
      <c r="K18" s="29" t="n"/>
      <c r="L18" t="n">
        <v>20</v>
      </c>
    </row>
    <row r="19">
      <c r="H19" s="29" t="n"/>
      <c r="I19" s="29" t="n"/>
      <c r="J19" s="29" t="n"/>
      <c r="K19" s="29" t="n"/>
      <c r="L19" t="n">
        <v>20</v>
      </c>
    </row>
    <row r="20">
      <c r="H20" s="29" t="n"/>
      <c r="I20" s="29" t="n"/>
      <c r="J20" s="29" t="n"/>
      <c r="K20" s="29" t="n"/>
      <c r="L20" t="n">
        <v>20</v>
      </c>
    </row>
    <row r="21">
      <c r="H21" s="29" t="n"/>
      <c r="I21" s="29" t="n"/>
      <c r="J21" s="29" t="n"/>
      <c r="K21" s="29" t="n"/>
      <c r="L21" t="n">
        <v>20</v>
      </c>
    </row>
    <row r="22">
      <c r="H22" s="29" t="n"/>
      <c r="I22" s="29" t="n"/>
      <c r="J22" s="29" t="n"/>
      <c r="K22" s="29" t="n"/>
      <c r="L22" t="n">
        <v>20</v>
      </c>
    </row>
    <row r="23">
      <c r="H23" s="29" t="n"/>
      <c r="I23" s="29" t="n"/>
      <c r="J23" s="29" t="n"/>
      <c r="K23" s="29" t="n"/>
      <c r="L23" t="n">
        <v>20</v>
      </c>
    </row>
    <row r="24">
      <c r="H24" s="29" t="n"/>
      <c r="I24" s="29" t="n"/>
      <c r="J24" s="29" t="n"/>
      <c r="K24" s="29" t="n"/>
      <c r="L24" t="n">
        <v>20</v>
      </c>
    </row>
    <row r="25">
      <c r="H25" s="29" t="n"/>
      <c r="I25" s="29" t="n"/>
      <c r="J25" s="29" t="n"/>
      <c r="K25" s="29" t="n"/>
      <c r="L25" t="n">
        <v>20</v>
      </c>
    </row>
    <row r="26">
      <c r="H26" s="29" t="n"/>
      <c r="I26" s="29" t="n"/>
      <c r="J26" s="29" t="n"/>
      <c r="K26" s="29" t="n"/>
      <c r="L26" t="n">
        <v>20</v>
      </c>
    </row>
    <row r="27">
      <c r="H27" s="29" t="n"/>
      <c r="I27" s="29" t="n"/>
      <c r="J27" s="29" t="n"/>
      <c r="K27" s="29" t="n"/>
      <c r="L27" t="n">
        <v>20</v>
      </c>
    </row>
    <row r="28">
      <c r="H28" s="29" t="n"/>
      <c r="I28" s="29" t="n"/>
      <c r="J28" s="29" t="n"/>
      <c r="K28" s="29" t="n"/>
      <c r="L28" t="n">
        <v>20</v>
      </c>
    </row>
    <row r="29">
      <c r="H29" s="29" t="n"/>
      <c r="I29" s="29" t="n"/>
      <c r="J29" s="29" t="n"/>
      <c r="K29" s="29" t="n"/>
      <c r="L29" t="n">
        <v>20</v>
      </c>
    </row>
    <row r="30">
      <c r="H30" s="29" t="n"/>
      <c r="I30" s="29" t="n"/>
      <c r="J30" s="29" t="n"/>
      <c r="K30" s="29" t="n"/>
      <c r="L30" t="n">
        <v>20</v>
      </c>
    </row>
    <row r="31">
      <c r="H31" s="29" t="n"/>
      <c r="I31" s="29" t="n"/>
      <c r="J31" s="29" t="n"/>
      <c r="K31" s="29" t="n"/>
      <c r="L31" t="n">
        <v>20</v>
      </c>
    </row>
    <row r="32">
      <c r="H32" s="29" t="n"/>
      <c r="I32" s="29" t="n"/>
      <c r="J32" s="29" t="n"/>
      <c r="K32" s="29" t="n"/>
      <c r="L32" t="n">
        <v>20</v>
      </c>
    </row>
    <row r="33">
      <c r="H33" s="29" t="n"/>
      <c r="I33" s="29" t="n"/>
      <c r="J33" s="29" t="n"/>
      <c r="K33" s="29" t="n"/>
      <c r="L33" t="n">
        <v>20</v>
      </c>
    </row>
    <row r="34">
      <c r="H34" s="29" t="n"/>
      <c r="I34" s="29" t="n"/>
      <c r="J34" s="29" t="n"/>
      <c r="K34" s="29" t="n"/>
      <c r="L34" t="n">
        <v>20</v>
      </c>
    </row>
    <row r="35">
      <c r="H35" s="29" t="n"/>
      <c r="I35" s="29" t="n"/>
      <c r="J35" s="29" t="n"/>
      <c r="K35" s="29" t="n"/>
      <c r="L35" t="n">
        <v>20</v>
      </c>
    </row>
    <row r="36">
      <c r="H36" s="29" t="n"/>
      <c r="I36" s="29" t="n"/>
      <c r="J36" s="29" t="n"/>
      <c r="K36" s="29" t="n"/>
      <c r="L36" t="n">
        <v>20</v>
      </c>
    </row>
    <row r="37">
      <c r="H37" s="29" t="n"/>
      <c r="I37" s="29" t="n"/>
      <c r="J37" s="29" t="n"/>
      <c r="K37" s="29" t="n"/>
      <c r="L37" t="n">
        <v>20</v>
      </c>
    </row>
    <row r="38">
      <c r="H38" s="29" t="n"/>
      <c r="I38" s="29" t="n"/>
      <c r="J38" s="29" t="n"/>
      <c r="K38" s="29" t="n"/>
    </row>
    <row r="39">
      <c r="H39" s="29" t="n"/>
      <c r="I39" s="29" t="n"/>
      <c r="J39" s="29" t="n"/>
      <c r="K39" s="29" t="n"/>
    </row>
    <row r="40">
      <c r="H40" s="29" t="n"/>
      <c r="I40" s="29" t="n"/>
      <c r="J40" s="29" t="n"/>
      <c r="K40" s="29" t="n"/>
    </row>
    <row r="41">
      <c r="H41" s="29" t="n"/>
      <c r="I41" s="29" t="n"/>
      <c r="J41" s="29" t="n"/>
      <c r="K41" s="29" t="n"/>
    </row>
    <row r="42">
      <c r="H42" s="29" t="n"/>
      <c r="I42" s="29" t="n"/>
      <c r="J42" s="29" t="n"/>
      <c r="K42" s="29" t="n"/>
    </row>
    <row r="43">
      <c r="H43" s="29" t="n"/>
      <c r="I43" s="29" t="n"/>
      <c r="J43" s="29" t="n"/>
      <c r="K43" s="29" t="n"/>
    </row>
    <row r="44">
      <c r="H44" s="29" t="n"/>
      <c r="I44" s="29" t="n"/>
      <c r="J44" s="29" t="n"/>
      <c r="K44" s="29" t="n"/>
    </row>
    <row r="45">
      <c r="H45" s="29" t="n"/>
      <c r="I45" s="29" t="n"/>
      <c r="J45" s="29" t="n"/>
      <c r="K45" s="29" t="n"/>
    </row>
    <row r="46">
      <c r="H46" s="29" t="n"/>
      <c r="I46" s="29" t="n"/>
      <c r="J46" s="29" t="n"/>
      <c r="K46" s="29" t="n"/>
    </row>
    <row r="47">
      <c r="H47" s="29" t="n"/>
      <c r="I47" s="29" t="n"/>
      <c r="J47" s="29" t="n"/>
      <c r="K47" s="29" t="n"/>
    </row>
    <row r="48">
      <c r="H48" s="29" t="n"/>
      <c r="I48" s="29" t="n"/>
      <c r="J48" s="29" t="n"/>
      <c r="K48" s="29" t="n"/>
    </row>
    <row r="49">
      <c r="H49" s="29" t="n"/>
      <c r="I49" s="29" t="n"/>
      <c r="J49" s="29" t="n"/>
      <c r="K49" s="29" t="n"/>
    </row>
    <row r="50">
      <c r="H50" s="29" t="n"/>
      <c r="I50" s="29" t="n"/>
      <c r="J50" s="29" t="n"/>
      <c r="K50" s="29" t="n"/>
    </row>
    <row r="51">
      <c r="H51" s="29" t="n"/>
      <c r="I51" s="29" t="n"/>
      <c r="J51" s="29" t="n"/>
      <c r="K51" s="29" t="n"/>
    </row>
    <row r="52">
      <c r="H52" s="29" t="n"/>
      <c r="I52" s="29" t="n"/>
      <c r="J52" s="29" t="n"/>
      <c r="K52" s="29" t="n"/>
    </row>
    <row r="53">
      <c r="H53" s="29" t="n"/>
      <c r="I53" s="29" t="n"/>
      <c r="J53" s="29" t="n"/>
      <c r="K53" s="29" t="n"/>
    </row>
    <row r="54">
      <c r="H54" s="29" t="n"/>
      <c r="I54" s="29" t="n"/>
      <c r="J54" s="29" t="n"/>
      <c r="K54" s="29" t="n"/>
    </row>
    <row r="55">
      <c r="H55" s="29" t="n"/>
      <c r="I55" s="29" t="n"/>
      <c r="J55" s="29" t="n"/>
      <c r="K55" s="29" t="n"/>
    </row>
    <row r="56">
      <c r="H56" s="29" t="n"/>
      <c r="I56" s="29" t="n"/>
      <c r="J56" s="29" t="n"/>
      <c r="K56" s="29" t="n"/>
    </row>
    <row r="57">
      <c r="H57" s="29" t="n"/>
      <c r="I57" s="29" t="n"/>
      <c r="J57" s="29" t="n"/>
      <c r="K57" s="29" t="n"/>
    </row>
    <row r="58">
      <c r="H58" s="29" t="n"/>
      <c r="I58" s="29" t="n"/>
      <c r="J58" s="29" t="n"/>
      <c r="K58" s="29" t="n"/>
    </row>
    <row r="59">
      <c r="H59" s="29" t="n"/>
      <c r="I59" s="29" t="n"/>
      <c r="J59" s="29" t="n"/>
      <c r="K59" s="29" t="n"/>
    </row>
    <row r="60">
      <c r="H60" s="29" t="n"/>
      <c r="I60" s="29" t="n"/>
      <c r="J60" s="29" t="n"/>
      <c r="K60" s="29" t="n"/>
    </row>
    <row r="61">
      <c r="H61" s="29" t="n"/>
      <c r="I61" s="29" t="n"/>
      <c r="J61" s="29" t="n"/>
      <c r="K61" s="29" t="n"/>
    </row>
    <row r="62">
      <c r="H62" s="29" t="n"/>
      <c r="I62" s="29" t="n"/>
      <c r="J62" s="29" t="n"/>
      <c r="K62" s="29" t="n"/>
    </row>
    <row r="63">
      <c r="H63" s="29" t="n"/>
      <c r="I63" s="29" t="n"/>
      <c r="J63" s="29" t="n"/>
      <c r="K63" s="29" t="n"/>
    </row>
    <row r="64">
      <c r="H64" s="29" t="n"/>
      <c r="I64" s="29" t="n"/>
      <c r="J64" s="29" t="n"/>
      <c r="K64" s="29" t="n"/>
    </row>
    <row r="65">
      <c r="H65" s="29" t="n"/>
      <c r="I65" s="29" t="n"/>
      <c r="J65" s="29" t="n"/>
      <c r="K65" s="29" t="n"/>
    </row>
    <row r="66">
      <c r="H66" s="29" t="n"/>
      <c r="I66" s="29" t="n"/>
      <c r="J66" s="29" t="n"/>
      <c r="K66" s="29" t="n"/>
    </row>
    <row r="67">
      <c r="H67" s="29" t="n"/>
      <c r="I67" s="29" t="n"/>
      <c r="J67" s="29" t="n"/>
      <c r="K67" s="29" t="n"/>
    </row>
    <row r="68">
      <c r="H68" s="29" t="n"/>
      <c r="I68" s="29" t="n"/>
      <c r="J68" s="29" t="n"/>
      <c r="K68" s="29" t="n"/>
    </row>
    <row r="69">
      <c r="H69" s="29" t="n"/>
      <c r="I69" s="29" t="n"/>
      <c r="J69" s="29" t="n"/>
      <c r="K69" s="29" t="n"/>
    </row>
    <row r="70">
      <c r="H70" s="29" t="n"/>
      <c r="I70" s="29" t="n"/>
      <c r="J70" s="29" t="n"/>
      <c r="K70" s="29" t="n"/>
    </row>
    <row r="71">
      <c r="H71" s="29" t="n"/>
      <c r="I71" s="29" t="n"/>
      <c r="J71" s="29" t="n"/>
      <c r="K71" s="29" t="n"/>
    </row>
    <row r="72">
      <c r="H72" s="29" t="n"/>
      <c r="I72" s="29" t="n"/>
      <c r="J72" s="29" t="n"/>
      <c r="K72" s="29" t="n"/>
    </row>
    <row r="73">
      <c r="H73" s="29" t="n"/>
      <c r="I73" s="29" t="n"/>
      <c r="J73" s="29" t="n"/>
      <c r="K73" s="29" t="n"/>
    </row>
    <row r="74">
      <c r="H74" s="29" t="n"/>
      <c r="I74" s="29" t="n"/>
      <c r="J74" s="29" t="n"/>
      <c r="K74" s="29" t="n"/>
    </row>
    <row r="75">
      <c r="H75" s="29" t="n"/>
      <c r="I75" s="29" t="n"/>
      <c r="J75" s="29" t="n"/>
      <c r="K75" s="29" t="n"/>
    </row>
    <row r="76">
      <c r="H76" s="29" t="n"/>
      <c r="I76" s="29" t="n"/>
      <c r="J76" s="29" t="n"/>
      <c r="K76" s="29" t="n"/>
    </row>
    <row r="77">
      <c r="H77" s="29" t="n"/>
      <c r="I77" s="29" t="n"/>
      <c r="J77" s="29" t="n"/>
      <c r="K77" s="29" t="n"/>
    </row>
    <row r="78">
      <c r="H78" s="29" t="n"/>
      <c r="I78" s="29" t="n"/>
      <c r="J78" s="29" t="n"/>
      <c r="K78" s="29" t="n"/>
    </row>
    <row r="79">
      <c r="H79" s="29" t="n"/>
      <c r="I79" s="29" t="n"/>
      <c r="J79" s="29" t="n"/>
      <c r="K79" s="29" t="n"/>
    </row>
    <row r="80">
      <c r="H80" s="29" t="n"/>
      <c r="I80" s="29" t="n"/>
      <c r="J80" s="29" t="n"/>
      <c r="K80" s="29" t="n"/>
    </row>
    <row r="81">
      <c r="H81" s="29" t="n"/>
      <c r="I81" s="29" t="n"/>
      <c r="J81" s="29" t="n"/>
      <c r="K81" s="29" t="n"/>
    </row>
    <row r="82">
      <c r="H82" s="29" t="n"/>
      <c r="I82" s="29" t="n"/>
      <c r="J82" s="29" t="n"/>
      <c r="K82" s="29" t="n"/>
    </row>
    <row r="83">
      <c r="H83" s="29" t="n"/>
      <c r="I83" s="29" t="n"/>
      <c r="J83" s="29" t="n"/>
      <c r="K83" s="29" t="n"/>
    </row>
    <row r="84">
      <c r="H84" s="29" t="n"/>
      <c r="I84" s="29" t="n"/>
      <c r="J84" s="29" t="n"/>
      <c r="K84" s="29" t="n"/>
    </row>
    <row r="85">
      <c r="H85" s="29" t="n"/>
      <c r="I85" s="29" t="n"/>
      <c r="J85" s="29" t="n"/>
      <c r="K85" s="29" t="n"/>
    </row>
    <row r="86">
      <c r="H86" s="29" t="n"/>
      <c r="I86" s="29" t="n"/>
      <c r="J86" s="29" t="n"/>
      <c r="K86" s="29" t="n"/>
    </row>
    <row r="87">
      <c r="H87" s="29" t="n"/>
      <c r="I87" s="29" t="n"/>
      <c r="J87" s="29" t="n"/>
      <c r="K87" s="29" t="n"/>
    </row>
    <row r="88">
      <c r="H88" s="29" t="n"/>
      <c r="I88" s="29" t="n"/>
      <c r="J88" s="29" t="n"/>
      <c r="K88" s="29" t="n"/>
    </row>
    <row r="89">
      <c r="H89" s="29" t="n"/>
      <c r="I89" s="29" t="n"/>
      <c r="J89" s="29" t="n"/>
      <c r="K89" s="29" t="n"/>
    </row>
    <row r="90">
      <c r="H90" s="29" t="n"/>
      <c r="I90" s="29" t="n"/>
      <c r="J90" s="29" t="n"/>
      <c r="K90" s="29" t="n"/>
    </row>
    <row r="91">
      <c r="H91" s="29" t="n"/>
      <c r="I91" s="29" t="n"/>
      <c r="J91" s="29" t="n"/>
      <c r="K91" s="29" t="n"/>
    </row>
    <row r="92">
      <c r="H92" s="29" t="n"/>
      <c r="I92" s="29" t="n"/>
      <c r="J92" s="29" t="n"/>
      <c r="K92" s="29" t="n"/>
    </row>
    <row r="93">
      <c r="H93" s="29" t="n"/>
      <c r="I93" s="29" t="n"/>
      <c r="J93" s="29" t="n"/>
      <c r="K93" s="29" t="n"/>
    </row>
    <row r="94">
      <c r="H94" s="29" t="n"/>
      <c r="I94" s="29" t="n"/>
      <c r="J94" s="29" t="n"/>
      <c r="K94" s="29" t="n"/>
    </row>
    <row r="95">
      <c r="H95" s="29" t="n"/>
      <c r="I95" s="29" t="n"/>
      <c r="J95" s="29" t="n"/>
      <c r="K95" s="29" t="n"/>
    </row>
    <row r="96">
      <c r="H96" s="29" t="n"/>
      <c r="I96" s="29" t="n"/>
      <c r="J96" s="29" t="n"/>
      <c r="K96" s="29" t="n"/>
    </row>
    <row r="97">
      <c r="H97" s="29" t="n"/>
      <c r="I97" s="29" t="n"/>
      <c r="J97" s="29" t="n"/>
      <c r="K97" s="29" t="n"/>
    </row>
    <row r="98">
      <c r="H98" s="29" t="n"/>
      <c r="I98" s="29" t="n"/>
      <c r="J98" s="29" t="n"/>
      <c r="K98" s="29" t="n"/>
    </row>
    <row r="99">
      <c r="H99" s="29" t="n"/>
      <c r="I99" s="29" t="n"/>
      <c r="J99" s="29" t="n"/>
      <c r="K99" s="29" t="n"/>
    </row>
    <row r="100">
      <c r="H100" s="29" t="n"/>
      <c r="I100" s="29" t="n"/>
      <c r="J100" s="29" t="n"/>
      <c r="K100" s="29" t="n"/>
    </row>
    <row r="101">
      <c r="H101" s="29" t="n"/>
      <c r="I101" s="29" t="n"/>
      <c r="J101" s="29" t="n"/>
      <c r="K101" s="29" t="n"/>
    </row>
    <row r="102">
      <c r="H102" s="29" t="n"/>
      <c r="I102" s="29" t="n"/>
      <c r="J102" s="29" t="n"/>
      <c r="K102" s="29" t="n"/>
    </row>
    <row r="103">
      <c r="H103" s="29" t="n"/>
      <c r="I103" s="29" t="n"/>
      <c r="J103" s="29" t="n"/>
      <c r="K103" s="29" t="n"/>
    </row>
    <row r="104">
      <c r="H104" s="29" t="n"/>
      <c r="I104" s="29" t="n"/>
      <c r="J104" s="29" t="n"/>
      <c r="K104" s="29" t="n"/>
    </row>
    <row r="105">
      <c r="H105" s="29" t="n"/>
      <c r="I105" s="29" t="n"/>
      <c r="J105" s="29" t="n"/>
      <c r="K105" s="29" t="n"/>
    </row>
    <row r="106">
      <c r="H106" s="29" t="n"/>
      <c r="I106" s="29" t="n"/>
      <c r="J106" s="29" t="n"/>
      <c r="K106" s="29" t="n"/>
    </row>
    <row r="107">
      <c r="H107" s="29" t="n"/>
      <c r="I107" s="29" t="n"/>
      <c r="J107" s="29" t="n"/>
      <c r="K107" s="29" t="n"/>
    </row>
    <row r="108">
      <c r="H108" s="29" t="n"/>
      <c r="I108" s="29" t="n"/>
      <c r="J108" s="29" t="n"/>
      <c r="K108" s="29" t="n"/>
    </row>
    <row r="109">
      <c r="H109" s="29" t="n"/>
      <c r="I109" s="29" t="n"/>
      <c r="J109" s="29" t="n"/>
      <c r="K109" s="29" t="n"/>
    </row>
    <row r="110">
      <c r="H110" s="29" t="n"/>
      <c r="I110" s="29" t="n"/>
      <c r="J110" s="29" t="n"/>
      <c r="K110" s="29" t="n"/>
    </row>
    <row r="111">
      <c r="H111" s="29" t="n"/>
      <c r="I111" s="29" t="n"/>
      <c r="J111" s="29" t="n"/>
      <c r="K111" s="29" t="n"/>
    </row>
    <row r="112">
      <c r="H112" s="29" t="n"/>
      <c r="I112" s="29" t="n"/>
      <c r="J112" s="29" t="n"/>
      <c r="K112" s="29" t="n"/>
    </row>
    <row r="113">
      <c r="H113" s="29" t="n"/>
      <c r="I113" s="29" t="n"/>
      <c r="J113" s="29" t="n"/>
      <c r="K113" s="29" t="n"/>
    </row>
    <row r="114">
      <c r="H114" s="29" t="n"/>
      <c r="I114" s="29" t="n"/>
      <c r="J114" s="29" t="n"/>
      <c r="K114" s="29" t="n"/>
    </row>
    <row r="115">
      <c r="H115" s="29" t="n"/>
      <c r="I115" s="29" t="n"/>
      <c r="J115" s="29" t="n"/>
      <c r="K115" s="29" t="n"/>
    </row>
    <row r="116">
      <c r="H116" s="29" t="n"/>
      <c r="I116" s="29" t="n"/>
      <c r="J116" s="29" t="n"/>
      <c r="K116" s="29" t="n"/>
    </row>
    <row r="117">
      <c r="H117" s="29" t="n"/>
      <c r="I117" s="29" t="n"/>
      <c r="J117" s="29" t="n"/>
      <c r="K117" s="29" t="n"/>
    </row>
    <row r="118">
      <c r="H118" s="29" t="n"/>
      <c r="I118" s="29" t="n"/>
      <c r="J118" s="29" t="n"/>
      <c r="K118" s="29" t="n"/>
    </row>
    <row r="119">
      <c r="H119" s="29" t="n"/>
      <c r="I119" s="29" t="n"/>
      <c r="J119" s="29" t="n"/>
      <c r="K119" s="29" t="n"/>
    </row>
    <row r="120">
      <c r="H120" s="29" t="n"/>
      <c r="I120" s="29" t="n"/>
      <c r="J120" s="29" t="n"/>
      <c r="K120" s="29" t="n"/>
    </row>
    <row r="121">
      <c r="H121" s="29" t="n"/>
      <c r="I121" s="29" t="n"/>
      <c r="J121" s="29" t="n"/>
      <c r="K121" s="29" t="n"/>
    </row>
    <row r="122">
      <c r="H122" s="29" t="n"/>
      <c r="I122" s="29" t="n"/>
      <c r="J122" s="29" t="n"/>
      <c r="K122" s="29" t="n"/>
    </row>
    <row r="123">
      <c r="H123" s="29" t="n"/>
      <c r="I123" s="29" t="n"/>
      <c r="J123" s="29" t="n"/>
      <c r="K123" s="29" t="n"/>
    </row>
    <row r="124">
      <c r="H124" s="29" t="n"/>
      <c r="I124" s="29" t="n"/>
      <c r="J124" s="29" t="n"/>
      <c r="K124" s="29" t="n"/>
    </row>
    <row r="125">
      <c r="H125" s="29" t="n"/>
      <c r="I125" s="29" t="n"/>
      <c r="J125" s="29" t="n"/>
      <c r="K125" s="29" t="n"/>
    </row>
    <row r="126">
      <c r="H126" s="29" t="n"/>
      <c r="I126" s="29" t="n"/>
      <c r="J126" s="29" t="n"/>
      <c r="K126" s="29" t="n"/>
    </row>
    <row r="127">
      <c r="H127" s="29" t="n"/>
      <c r="I127" s="29" t="n"/>
      <c r="J127" s="29" t="n"/>
      <c r="K127" s="29" t="n"/>
    </row>
    <row r="128">
      <c r="H128" s="29" t="n"/>
      <c r="I128" s="29" t="n"/>
      <c r="J128" s="29" t="n"/>
      <c r="K128" s="29" t="n"/>
    </row>
    <row r="129">
      <c r="H129" s="29" t="n"/>
      <c r="I129" s="29" t="n"/>
      <c r="J129" s="29" t="n"/>
      <c r="K129" s="29" t="n"/>
    </row>
    <row r="130">
      <c r="H130" s="29" t="n"/>
      <c r="I130" s="29" t="n"/>
      <c r="J130" s="29" t="n"/>
      <c r="K130" s="29" t="n"/>
    </row>
    <row r="131">
      <c r="H131" s="29" t="n"/>
      <c r="I131" s="29" t="n"/>
      <c r="J131" s="29" t="n"/>
      <c r="K131" s="29" t="n"/>
    </row>
    <row r="132">
      <c r="H132" s="29" t="n"/>
      <c r="I132" s="29" t="n"/>
      <c r="J132" s="29" t="n"/>
      <c r="K132" s="29" t="n"/>
    </row>
    <row r="133">
      <c r="H133" s="29" t="n"/>
      <c r="I133" s="29" t="n"/>
      <c r="J133" s="29" t="n"/>
      <c r="K133" s="29" t="n"/>
    </row>
    <row r="134">
      <c r="H134" s="29" t="n"/>
      <c r="I134" s="29" t="n"/>
      <c r="J134" s="29" t="n"/>
      <c r="K134" s="29" t="n"/>
    </row>
    <row r="135">
      <c r="H135" s="29" t="n"/>
      <c r="I135" s="29" t="n"/>
      <c r="J135" s="29" t="n"/>
      <c r="K135" s="29" t="n"/>
    </row>
    <row r="136">
      <c r="H136" s="29" t="n"/>
      <c r="I136" s="29" t="n"/>
      <c r="J136" s="29" t="n"/>
      <c r="K136" s="29" t="n"/>
    </row>
    <row r="137">
      <c r="H137" s="29" t="n"/>
      <c r="I137" s="29" t="n"/>
      <c r="J137" s="29" t="n"/>
      <c r="K137" s="29" t="n"/>
    </row>
    <row r="138">
      <c r="H138" s="29" t="n"/>
      <c r="I138" s="29" t="n"/>
      <c r="J138" s="29" t="n"/>
      <c r="K138" s="29" t="n"/>
    </row>
    <row r="139">
      <c r="H139" s="29" t="n"/>
      <c r="I139" s="29" t="n"/>
      <c r="J139" s="29" t="n"/>
      <c r="K139" s="29" t="n"/>
    </row>
    <row r="140">
      <c r="H140" s="29" t="n"/>
      <c r="I140" s="29" t="n"/>
      <c r="J140" s="29" t="n"/>
      <c r="K140" s="29" t="n"/>
    </row>
    <row r="141">
      <c r="H141" s="29" t="n"/>
      <c r="I141" s="29" t="n"/>
      <c r="J141" s="29" t="n"/>
      <c r="K141" s="29" t="n"/>
    </row>
    <row r="142">
      <c r="H142" s="29" t="n"/>
      <c r="I142" s="29" t="n"/>
      <c r="J142" s="29" t="n"/>
      <c r="K142" s="29" t="n"/>
    </row>
    <row r="143">
      <c r="H143" s="29" t="n"/>
      <c r="I143" s="29" t="n"/>
      <c r="J143" s="29" t="n"/>
      <c r="K143" s="29" t="n"/>
    </row>
    <row r="144">
      <c r="H144" s="29" t="n"/>
      <c r="I144" s="29" t="n"/>
      <c r="J144" s="29" t="n"/>
      <c r="K144" s="29" t="n"/>
    </row>
    <row r="145">
      <c r="H145" s="29" t="n"/>
      <c r="I145" s="29" t="n"/>
      <c r="J145" s="29" t="n"/>
      <c r="K145" s="29" t="n"/>
    </row>
    <row r="146">
      <c r="H146" s="29" t="n"/>
      <c r="I146" s="29" t="n"/>
      <c r="J146" s="29" t="n"/>
      <c r="K146" s="29" t="n"/>
    </row>
    <row r="147">
      <c r="H147" s="29" t="n"/>
      <c r="I147" s="29" t="n"/>
      <c r="J147" s="29" t="n"/>
      <c r="K147" s="29" t="n"/>
    </row>
    <row r="148">
      <c r="H148" s="29" t="n"/>
      <c r="I148" s="29" t="n"/>
      <c r="J148" s="29" t="n"/>
      <c r="K148" s="29" t="n"/>
    </row>
    <row r="149">
      <c r="H149" s="29" t="n"/>
      <c r="I149" s="29" t="n"/>
      <c r="J149" s="29" t="n"/>
      <c r="K149" s="29" t="n"/>
    </row>
    <row r="150">
      <c r="H150" s="29" t="n"/>
      <c r="I150" s="29" t="n"/>
      <c r="J150" s="29" t="n"/>
      <c r="K150" s="29" t="n"/>
    </row>
    <row r="151">
      <c r="H151" s="29" t="n"/>
      <c r="I151" s="29" t="n"/>
      <c r="J151" s="29" t="n"/>
      <c r="K151" s="29" t="n"/>
    </row>
    <row r="152">
      <c r="H152" s="29" t="n"/>
      <c r="I152" s="29" t="n"/>
      <c r="J152" s="29" t="n"/>
      <c r="K152" s="29" t="n"/>
    </row>
    <row r="153">
      <c r="H153" s="29" t="n"/>
      <c r="I153" s="29" t="n"/>
      <c r="J153" s="29" t="n"/>
      <c r="K153" s="29" t="n"/>
    </row>
    <row r="154">
      <c r="H154" s="29" t="n"/>
      <c r="I154" s="29" t="n"/>
      <c r="J154" s="29" t="n"/>
      <c r="K154" s="29" t="n"/>
    </row>
    <row r="155">
      <c r="H155" s="29" t="n"/>
      <c r="I155" s="29" t="n"/>
      <c r="J155" s="29" t="n"/>
      <c r="K155" s="29" t="n"/>
    </row>
    <row r="156">
      <c r="H156" s="29" t="n"/>
      <c r="I156" s="29" t="n"/>
      <c r="J156" s="29" t="n"/>
      <c r="K156" s="29" t="n"/>
    </row>
    <row r="157">
      <c r="H157" s="29" t="n"/>
      <c r="I157" s="29" t="n"/>
      <c r="J157" s="29" t="n"/>
      <c r="K157" s="29" t="n"/>
    </row>
    <row r="158">
      <c r="H158" s="29" t="n"/>
      <c r="I158" s="29" t="n"/>
      <c r="J158" s="29" t="n"/>
      <c r="K158" s="29" t="n"/>
    </row>
    <row r="159">
      <c r="H159" s="29" t="n"/>
      <c r="I159" s="29" t="n"/>
      <c r="J159" s="29" t="n"/>
      <c r="K159" s="29" t="n"/>
    </row>
    <row r="160">
      <c r="H160" s="29" t="n"/>
      <c r="I160" s="29" t="n"/>
      <c r="J160" s="29" t="n"/>
      <c r="K160" s="29" t="n"/>
    </row>
    <row r="161">
      <c r="H161" s="29" t="n"/>
      <c r="I161" s="29" t="n"/>
      <c r="J161" s="29" t="n"/>
      <c r="K161" s="29" t="n"/>
    </row>
    <row r="162">
      <c r="H162" s="29" t="n"/>
      <c r="I162" s="29" t="n"/>
      <c r="J162" s="29" t="n"/>
      <c r="K162" s="29" t="n"/>
    </row>
    <row r="163">
      <c r="H163" s="29" t="n"/>
      <c r="I163" s="29" t="n"/>
      <c r="J163" s="29" t="n"/>
      <c r="K163" s="29" t="n"/>
    </row>
    <row r="164">
      <c r="H164" s="29" t="n"/>
      <c r="I164" s="29" t="n"/>
      <c r="J164" s="29" t="n"/>
      <c r="K164" s="29" t="n"/>
    </row>
    <row r="165">
      <c r="H165" s="29" t="n"/>
      <c r="I165" s="29" t="n"/>
      <c r="J165" s="29" t="n"/>
      <c r="K165" s="29" t="n"/>
    </row>
    <row r="166">
      <c r="H166" s="29" t="n"/>
      <c r="I166" s="29" t="n"/>
      <c r="J166" s="29" t="n"/>
      <c r="K166" s="29" t="n"/>
    </row>
    <row r="167">
      <c r="H167" s="29" t="n"/>
      <c r="I167" s="29" t="n"/>
      <c r="J167" s="29" t="n"/>
      <c r="K167" s="29" t="n"/>
    </row>
    <row r="168">
      <c r="H168" s="29" t="n"/>
      <c r="I168" s="29" t="n"/>
      <c r="J168" s="29" t="n"/>
      <c r="K168" s="29" t="n"/>
    </row>
    <row r="169">
      <c r="H169" s="29" t="n"/>
      <c r="I169" s="29" t="n"/>
      <c r="J169" s="29" t="n"/>
      <c r="K169" s="29" t="n"/>
    </row>
    <row r="170">
      <c r="H170" s="29" t="n"/>
      <c r="I170" s="29" t="n"/>
      <c r="J170" s="29" t="n"/>
      <c r="K170" s="29" t="n"/>
    </row>
    <row r="171">
      <c r="H171" s="29" t="n"/>
      <c r="I171" s="29" t="n"/>
      <c r="J171" s="29" t="n"/>
      <c r="K171" s="29" t="n"/>
    </row>
    <row r="172">
      <c r="H172" s="29" t="n"/>
      <c r="I172" s="29" t="n"/>
      <c r="J172" s="29" t="n"/>
      <c r="K172" s="29" t="n"/>
    </row>
    <row r="173">
      <c r="H173" s="29" t="n"/>
      <c r="I173" s="29" t="n"/>
      <c r="J173" s="29" t="n"/>
      <c r="K173" s="29" t="n"/>
    </row>
    <row r="174">
      <c r="H174" s="29" t="n"/>
      <c r="I174" s="29" t="n"/>
      <c r="J174" s="29" t="n"/>
      <c r="K174" s="29" t="n"/>
    </row>
    <row r="175">
      <c r="H175" s="29" t="n"/>
      <c r="I175" s="29" t="n"/>
      <c r="J175" s="29" t="n"/>
      <c r="K175" s="29" t="n"/>
    </row>
    <row r="176">
      <c r="H176" s="29" t="n"/>
      <c r="I176" s="29" t="n"/>
      <c r="J176" s="29" t="n"/>
      <c r="K176" s="29" t="n"/>
    </row>
    <row r="177">
      <c r="H177" s="29" t="n"/>
      <c r="I177" s="29" t="n"/>
      <c r="J177" s="29" t="n"/>
      <c r="K177" s="29" t="n"/>
    </row>
    <row r="178">
      <c r="H178" s="29" t="n"/>
      <c r="I178" s="29" t="n"/>
      <c r="J178" s="29" t="n"/>
      <c r="K178" s="29" t="n"/>
    </row>
    <row r="179">
      <c r="H179" s="29" t="n"/>
      <c r="I179" s="29" t="n"/>
      <c r="J179" s="29" t="n"/>
      <c r="K179" s="29" t="n"/>
    </row>
    <row r="180">
      <c r="H180" s="29" t="n"/>
      <c r="I180" s="29" t="n"/>
      <c r="J180" s="29" t="n"/>
      <c r="K180" s="29" t="n"/>
    </row>
    <row r="181">
      <c r="H181" s="29" t="n"/>
      <c r="I181" s="29" t="n"/>
      <c r="J181" s="29" t="n"/>
      <c r="K181" s="29" t="n"/>
    </row>
    <row r="182">
      <c r="H182" s="29" t="n"/>
      <c r="I182" s="29" t="n"/>
      <c r="J182" s="29" t="n"/>
      <c r="K182" s="29" t="n"/>
    </row>
    <row r="183">
      <c r="H183" s="29" t="n"/>
      <c r="I183" s="29" t="n"/>
      <c r="J183" s="29" t="n"/>
      <c r="K183" s="29" t="n"/>
    </row>
    <row r="184">
      <c r="H184" s="29" t="n"/>
      <c r="I184" s="29" t="n"/>
      <c r="J184" s="29" t="n"/>
      <c r="K184" s="29" t="n"/>
    </row>
    <row r="185">
      <c r="H185" s="29" t="n"/>
      <c r="I185" s="29" t="n"/>
      <c r="J185" s="29" t="n"/>
      <c r="K185" s="29" t="n"/>
    </row>
    <row r="186">
      <c r="H186" s="29" t="n"/>
      <c r="I186" s="29" t="n"/>
      <c r="J186" s="29" t="n"/>
      <c r="K186" s="29" t="n"/>
    </row>
    <row r="187">
      <c r="H187" s="29" t="n"/>
      <c r="I187" s="29" t="n"/>
      <c r="J187" s="29" t="n"/>
      <c r="K187" s="29" t="n"/>
    </row>
    <row r="188">
      <c r="H188" s="29" t="n"/>
      <c r="I188" s="29" t="n"/>
      <c r="J188" s="29" t="n"/>
      <c r="K188" s="29" t="n"/>
    </row>
    <row r="189">
      <c r="H189" s="29" t="n"/>
      <c r="I189" s="29" t="n"/>
      <c r="J189" s="29" t="n"/>
      <c r="K189" s="29" t="n"/>
    </row>
    <row r="190">
      <c r="H190" s="29" t="n"/>
      <c r="I190" s="29" t="n"/>
      <c r="J190" s="29" t="n"/>
      <c r="K190" s="29" t="n"/>
    </row>
    <row r="191">
      <c r="H191" s="29" t="n"/>
      <c r="I191" s="29" t="n"/>
      <c r="J191" s="29" t="n"/>
      <c r="K191" s="29" t="n"/>
    </row>
    <row r="192">
      <c r="H192" s="29" t="n"/>
      <c r="I192" s="29" t="n"/>
      <c r="J192" s="29" t="n"/>
      <c r="K192" s="29" t="n"/>
    </row>
    <row r="193">
      <c r="H193" s="29" t="n"/>
      <c r="I193" s="29" t="n"/>
      <c r="J193" s="29" t="n"/>
      <c r="K193" s="29" t="n"/>
    </row>
    <row r="194">
      <c r="H194" s="29" t="n"/>
      <c r="I194" s="29" t="n"/>
      <c r="J194" s="29" t="n"/>
      <c r="K194" s="29" t="n"/>
    </row>
    <row r="195">
      <c r="H195" s="29" t="n"/>
      <c r="I195" s="29" t="n"/>
      <c r="J195" s="29" t="n"/>
      <c r="K195" s="29" t="n"/>
    </row>
    <row r="196">
      <c r="H196" s="29" t="n"/>
      <c r="I196" s="29" t="n"/>
      <c r="J196" s="29" t="n"/>
      <c r="K196" s="29" t="n"/>
    </row>
    <row r="197">
      <c r="H197" s="29" t="n"/>
      <c r="I197" s="29" t="n"/>
      <c r="J197" s="29" t="n"/>
      <c r="K197" s="29" t="n"/>
    </row>
    <row r="198">
      <c r="H198" s="29" t="n"/>
      <c r="I198" s="29" t="n"/>
      <c r="J198" s="29" t="n"/>
      <c r="K198" s="29" t="n"/>
    </row>
    <row r="199">
      <c r="H199" s="29" t="n"/>
      <c r="I199" s="29" t="n"/>
      <c r="J199" s="29" t="n"/>
      <c r="K199" s="29" t="n"/>
    </row>
    <row r="200">
      <c r="H200" s="29" t="n"/>
      <c r="I200" s="29" t="n"/>
      <c r="J200" s="29" t="n"/>
      <c r="K200" s="29" t="n"/>
    </row>
    <row r="201">
      <c r="H201" s="29" t="n"/>
      <c r="I201" s="29" t="n"/>
      <c r="J201" s="29" t="n"/>
      <c r="K201" s="29" t="n"/>
    </row>
    <row r="202">
      <c r="H202" s="29" t="n"/>
      <c r="I202" s="29" t="n"/>
      <c r="J202" s="29" t="n"/>
      <c r="K202" s="29" t="n"/>
    </row>
    <row r="203">
      <c r="H203" s="29" t="n"/>
      <c r="I203" s="29" t="n"/>
      <c r="J203" s="29" t="n"/>
      <c r="K203" s="29" t="n"/>
    </row>
    <row r="204">
      <c r="H204" s="29" t="n"/>
      <c r="I204" s="29" t="n"/>
      <c r="J204" s="29" t="n"/>
      <c r="K204" s="29" t="n"/>
    </row>
    <row r="205">
      <c r="H205" s="29" t="n"/>
      <c r="I205" s="29" t="n"/>
      <c r="J205" s="29" t="n"/>
      <c r="K205" s="29" t="n"/>
    </row>
    <row r="206">
      <c r="H206" s="29" t="n"/>
      <c r="I206" s="29" t="n"/>
      <c r="J206" s="29" t="n"/>
      <c r="K206" s="29" t="n"/>
    </row>
    <row r="207">
      <c r="H207" s="29" t="n"/>
      <c r="I207" s="29" t="n"/>
      <c r="J207" s="29" t="n"/>
      <c r="K207" s="29" t="n"/>
    </row>
    <row r="208">
      <c r="H208" s="29" t="n"/>
      <c r="I208" s="29" t="n"/>
      <c r="J208" s="29" t="n"/>
      <c r="K208" s="29" t="n"/>
    </row>
    <row r="209">
      <c r="H209" s="29" t="n"/>
      <c r="I209" s="29" t="n"/>
      <c r="J209" s="29" t="n"/>
      <c r="K209" s="29" t="n"/>
    </row>
    <row r="210">
      <c r="H210" s="29" t="n"/>
      <c r="I210" s="29" t="n"/>
      <c r="J210" s="29" t="n"/>
      <c r="K210" s="29" t="n"/>
    </row>
    <row r="211">
      <c r="H211" s="29" t="n"/>
      <c r="I211" s="29" t="n"/>
      <c r="J211" s="29" t="n"/>
      <c r="K211" s="29" t="n"/>
    </row>
    <row r="212">
      <c r="H212" s="29" t="n"/>
      <c r="I212" s="29" t="n"/>
      <c r="J212" s="29" t="n"/>
      <c r="K212" s="29" t="n"/>
    </row>
    <row r="213">
      <c r="H213" s="29" t="n"/>
      <c r="I213" s="29" t="n"/>
      <c r="J213" s="29" t="n"/>
      <c r="K213" s="29" t="n"/>
    </row>
    <row r="214">
      <c r="H214" s="29" t="n"/>
      <c r="I214" s="29" t="n"/>
      <c r="J214" s="29" t="n"/>
      <c r="K214" s="29" t="n"/>
    </row>
    <row r="215">
      <c r="H215" s="29" t="n"/>
      <c r="I215" s="29" t="n"/>
      <c r="J215" s="29" t="n"/>
      <c r="K215" s="29" t="n"/>
    </row>
    <row r="216">
      <c r="H216" s="29" t="n"/>
      <c r="I216" s="29" t="n"/>
      <c r="J216" s="29" t="n"/>
      <c r="K216" s="29" t="n"/>
    </row>
    <row r="217">
      <c r="H217" s="29" t="n"/>
      <c r="I217" s="29" t="n"/>
      <c r="J217" s="29" t="n"/>
      <c r="K217" s="29" t="n"/>
    </row>
    <row r="218">
      <c r="H218" s="29" t="n"/>
      <c r="I218" s="29" t="n"/>
      <c r="J218" s="29" t="n"/>
      <c r="K218" s="29" t="n"/>
    </row>
    <row r="219">
      <c r="H219" s="29" t="n"/>
      <c r="I219" s="29" t="n"/>
      <c r="J219" s="29" t="n"/>
      <c r="K219" s="29" t="n"/>
    </row>
    <row r="220">
      <c r="H220" s="29" t="n"/>
      <c r="I220" s="29" t="n"/>
      <c r="J220" s="29" t="n"/>
      <c r="K220" s="29" t="n"/>
    </row>
    <row r="221">
      <c r="H221" s="29" t="n"/>
      <c r="I221" s="29" t="n"/>
      <c r="J221" s="29" t="n"/>
      <c r="K221" s="29" t="n"/>
    </row>
    <row r="222">
      <c r="H222" s="29" t="n"/>
      <c r="I222" s="29" t="n"/>
      <c r="J222" s="29" t="n"/>
      <c r="K222" s="29" t="n"/>
    </row>
    <row r="223">
      <c r="H223" s="29" t="n"/>
      <c r="I223" s="29" t="n"/>
      <c r="J223" s="29" t="n"/>
      <c r="K223" s="29" t="n"/>
    </row>
    <row r="224">
      <c r="H224" s="29" t="n"/>
      <c r="I224" s="29" t="n"/>
      <c r="J224" s="29" t="n"/>
      <c r="K224" s="29" t="n"/>
    </row>
    <row r="225">
      <c r="H225" s="29" t="n"/>
      <c r="I225" s="29" t="n"/>
      <c r="J225" s="29" t="n"/>
      <c r="K225" s="29" t="n"/>
    </row>
    <row r="226">
      <c r="H226" s="29" t="n"/>
      <c r="I226" s="29" t="n"/>
      <c r="J226" s="29" t="n"/>
      <c r="K226" s="29" t="n"/>
    </row>
    <row r="227">
      <c r="H227" s="29" t="n"/>
      <c r="I227" s="29" t="n"/>
      <c r="J227" s="29" t="n"/>
      <c r="K227" s="29" t="n"/>
    </row>
    <row r="228">
      <c r="H228" s="29" t="n"/>
      <c r="I228" s="29" t="n"/>
      <c r="J228" s="29" t="n"/>
      <c r="K228" s="29" t="n"/>
    </row>
    <row r="229">
      <c r="H229" s="29" t="n"/>
      <c r="I229" s="29" t="n"/>
      <c r="J229" s="29" t="n"/>
      <c r="K229" s="29" t="n"/>
    </row>
    <row r="230">
      <c r="H230" s="29" t="n"/>
      <c r="I230" s="29" t="n"/>
      <c r="J230" s="29" t="n"/>
      <c r="K230" s="29" t="n"/>
    </row>
    <row r="231">
      <c r="H231" s="29" t="n"/>
      <c r="I231" s="29" t="n"/>
      <c r="J231" s="29" t="n"/>
      <c r="K231" s="29" t="n"/>
    </row>
    <row r="232">
      <c r="H232" s="29" t="n"/>
      <c r="I232" s="29" t="n"/>
      <c r="J232" s="29" t="n"/>
      <c r="K232" s="29" t="n"/>
    </row>
    <row r="233">
      <c r="H233" s="29" t="n"/>
      <c r="I233" s="29" t="n"/>
      <c r="J233" s="29" t="n"/>
      <c r="K233" s="29" t="n"/>
    </row>
    <row r="234">
      <c r="H234" s="29" t="n"/>
      <c r="I234" s="29" t="n"/>
      <c r="J234" s="29" t="n"/>
      <c r="K234" s="29" t="n"/>
    </row>
    <row r="235">
      <c r="H235" s="29" t="n"/>
      <c r="I235" s="29" t="n"/>
      <c r="J235" s="29" t="n"/>
      <c r="K235" s="29" t="n"/>
    </row>
    <row r="236">
      <c r="H236" s="29" t="n"/>
      <c r="I236" s="29" t="n"/>
      <c r="J236" s="29" t="n"/>
      <c r="K236" s="29" t="n"/>
    </row>
    <row r="237">
      <c r="H237" s="29" t="n"/>
      <c r="I237" s="29" t="n"/>
      <c r="J237" s="29" t="n"/>
      <c r="K237" s="29" t="n"/>
    </row>
    <row r="238">
      <c r="H238" s="29" t="n"/>
      <c r="I238" s="29" t="n"/>
      <c r="J238" s="29" t="n"/>
      <c r="K238" s="29" t="n"/>
    </row>
    <row r="239">
      <c r="H239" s="29" t="n"/>
      <c r="I239" s="29" t="n"/>
      <c r="J239" s="29" t="n"/>
      <c r="K239" s="29" t="n"/>
    </row>
    <row r="240">
      <c r="H240" s="29" t="n"/>
      <c r="I240" s="29" t="n"/>
      <c r="J240" s="29" t="n"/>
      <c r="K240" s="29" t="n"/>
    </row>
    <row r="241">
      <c r="H241" s="29" t="n"/>
      <c r="I241" s="29" t="n"/>
      <c r="J241" s="29" t="n"/>
      <c r="K241" s="29" t="n"/>
    </row>
    <row r="242">
      <c r="H242" s="29" t="n"/>
      <c r="I242" s="29" t="n"/>
      <c r="J242" s="29" t="n"/>
      <c r="K242" s="29" t="n"/>
    </row>
    <row r="243">
      <c r="H243" s="29" t="n"/>
      <c r="I243" s="29" t="n"/>
      <c r="J243" s="29" t="n"/>
      <c r="K243" s="29" t="n"/>
    </row>
    <row r="244">
      <c r="H244" s="29" t="n"/>
      <c r="I244" s="29" t="n"/>
      <c r="J244" s="29" t="n"/>
      <c r="K244" s="29" t="n"/>
    </row>
    <row r="245">
      <c r="H245" s="29" t="n"/>
      <c r="I245" s="29" t="n"/>
      <c r="J245" s="29" t="n"/>
      <c r="K245" s="29" t="n"/>
    </row>
    <row r="246">
      <c r="H246" s="29" t="n"/>
      <c r="I246" s="29" t="n"/>
      <c r="J246" s="29" t="n"/>
      <c r="K246" s="29" t="n"/>
    </row>
    <row r="247">
      <c r="H247" s="29" t="n"/>
      <c r="I247" s="29" t="n"/>
      <c r="J247" s="29" t="n"/>
      <c r="K247" s="29" t="n"/>
    </row>
    <row r="248">
      <c r="H248" s="29" t="n"/>
      <c r="I248" s="29" t="n"/>
      <c r="J248" s="29" t="n"/>
      <c r="K248" s="29" t="n"/>
    </row>
    <row r="249">
      <c r="H249" s="29" t="n"/>
      <c r="I249" s="29" t="n"/>
      <c r="J249" s="29" t="n"/>
      <c r="K249" s="29" t="n"/>
    </row>
    <row r="250">
      <c r="H250" s="29" t="n"/>
      <c r="I250" s="29" t="n"/>
      <c r="J250" s="29" t="n"/>
      <c r="K250" s="29" t="n"/>
    </row>
    <row r="251">
      <c r="H251" s="29" t="n"/>
      <c r="I251" s="29" t="n"/>
      <c r="J251" s="29" t="n"/>
      <c r="K251" s="29" t="n"/>
    </row>
    <row r="252">
      <c r="H252" s="29" t="n"/>
      <c r="I252" s="29" t="n"/>
      <c r="J252" s="29" t="n"/>
      <c r="K252" s="29" t="n"/>
    </row>
    <row r="253">
      <c r="H253" s="29" t="n"/>
      <c r="I253" s="29" t="n"/>
      <c r="J253" s="29" t="n"/>
      <c r="K253" s="29" t="n"/>
    </row>
    <row r="254">
      <c r="H254" s="29" t="n"/>
      <c r="I254" s="29" t="n"/>
      <c r="J254" s="29" t="n"/>
      <c r="K254" s="29" t="n"/>
    </row>
    <row r="255">
      <c r="H255" s="29" t="n"/>
      <c r="I255" s="29" t="n"/>
      <c r="J255" s="29" t="n"/>
      <c r="K255" s="29" t="n"/>
    </row>
    <row r="256">
      <c r="H256" s="29" t="n"/>
      <c r="I256" s="29" t="n"/>
      <c r="J256" s="29" t="n"/>
      <c r="K256" s="29" t="n"/>
    </row>
    <row r="257">
      <c r="H257" s="29" t="n"/>
      <c r="I257" s="29" t="n"/>
      <c r="J257" s="29" t="n"/>
      <c r="K257" s="29" t="n"/>
    </row>
    <row r="258">
      <c r="H258" s="29" t="n"/>
      <c r="I258" s="29" t="n"/>
      <c r="J258" s="29" t="n"/>
      <c r="K258" s="29" t="n"/>
    </row>
    <row r="259">
      <c r="H259" s="29" t="n"/>
      <c r="I259" s="29" t="n"/>
      <c r="J259" s="29" t="n"/>
      <c r="K259" s="29" t="n"/>
    </row>
    <row r="260">
      <c r="H260" s="29" t="n"/>
      <c r="I260" s="29" t="n"/>
      <c r="J260" s="29" t="n"/>
      <c r="K260" s="29" t="n"/>
    </row>
    <row r="261">
      <c r="H261" s="29" t="n"/>
      <c r="I261" s="29" t="n"/>
      <c r="J261" s="29" t="n"/>
      <c r="K261" s="29" t="n"/>
    </row>
    <row r="262">
      <c r="H262" s="29" t="n"/>
      <c r="I262" s="29" t="n"/>
      <c r="J262" s="29" t="n"/>
      <c r="K262" s="29" t="n"/>
    </row>
    <row r="263">
      <c r="H263" s="29" t="n"/>
      <c r="I263" s="29" t="n"/>
      <c r="J263" s="29" t="n"/>
      <c r="K263" s="29" t="n"/>
    </row>
    <row r="264">
      <c r="H264" s="29" t="n"/>
      <c r="I264" s="29" t="n"/>
      <c r="J264" s="29" t="n"/>
      <c r="K264" s="29" t="n"/>
    </row>
    <row r="265">
      <c r="H265" s="29" t="n"/>
      <c r="I265" s="29" t="n"/>
      <c r="J265" s="29" t="n"/>
      <c r="K265" s="29" t="n"/>
    </row>
    <row r="266">
      <c r="H266" s="29" t="n"/>
      <c r="I266" s="29" t="n"/>
      <c r="J266" s="29" t="n"/>
      <c r="K266" s="29" t="n"/>
    </row>
    <row r="267">
      <c r="H267" s="29" t="n"/>
      <c r="I267" s="29" t="n"/>
      <c r="J267" s="29" t="n"/>
      <c r="K267" s="29" t="n"/>
    </row>
    <row r="268">
      <c r="H268" s="29" t="n"/>
      <c r="I268" s="29" t="n"/>
      <c r="J268" s="29" t="n"/>
      <c r="K268" s="29" t="n"/>
    </row>
    <row r="269">
      <c r="H269" s="29" t="n"/>
      <c r="I269" s="29" t="n"/>
      <c r="J269" s="29" t="n"/>
      <c r="K269" s="29" t="n"/>
    </row>
    <row r="270">
      <c r="H270" s="29" t="n"/>
      <c r="I270" s="29" t="n"/>
      <c r="J270" s="29" t="n"/>
      <c r="K270" s="29" t="n"/>
    </row>
    <row r="271">
      <c r="H271" s="29" t="n"/>
      <c r="I271" s="29" t="n"/>
      <c r="J271" s="29" t="n"/>
      <c r="K271" s="29" t="n"/>
    </row>
    <row r="272">
      <c r="H272" s="29" t="n"/>
      <c r="I272" s="29" t="n"/>
      <c r="J272" s="29" t="n"/>
      <c r="K272" s="29" t="n"/>
    </row>
    <row r="273">
      <c r="H273" s="29" t="n"/>
      <c r="I273" s="29" t="n"/>
      <c r="J273" s="29" t="n"/>
      <c r="K273" s="29" t="n"/>
    </row>
    <row r="274">
      <c r="H274" s="29" t="n"/>
      <c r="I274" s="29" t="n"/>
      <c r="J274" s="29" t="n"/>
      <c r="K274" s="29" t="n"/>
    </row>
    <row r="275">
      <c r="H275" s="29" t="n"/>
      <c r="I275" s="29" t="n"/>
      <c r="J275" s="29" t="n"/>
      <c r="K275" s="29" t="n"/>
    </row>
    <row r="276">
      <c r="H276" s="29" t="n"/>
      <c r="I276" s="29" t="n"/>
      <c r="J276" s="29" t="n"/>
      <c r="K276" s="29" t="n"/>
    </row>
    <row r="277">
      <c r="H277" s="29" t="n"/>
      <c r="I277" s="29" t="n"/>
      <c r="J277" s="29" t="n"/>
      <c r="K277" s="29" t="n"/>
    </row>
    <row r="278">
      <c r="H278" s="29" t="n"/>
      <c r="I278" s="29" t="n"/>
      <c r="J278" s="29" t="n"/>
      <c r="K278" s="29" t="n"/>
    </row>
    <row r="279">
      <c r="H279" s="29" t="n"/>
      <c r="I279" s="29" t="n"/>
      <c r="J279" s="29" t="n"/>
      <c r="K279" s="29" t="n"/>
    </row>
    <row r="280">
      <c r="H280" s="29" t="n"/>
      <c r="I280" s="29" t="n"/>
      <c r="J280" s="29" t="n"/>
      <c r="K280" s="29" t="n"/>
    </row>
    <row r="281">
      <c r="H281" s="29" t="n"/>
      <c r="I281" s="29" t="n"/>
      <c r="J281" s="29" t="n"/>
      <c r="K281" s="29" t="n"/>
    </row>
    <row r="282">
      <c r="H282" s="29" t="n"/>
      <c r="I282" s="29" t="n"/>
      <c r="J282" s="29" t="n"/>
      <c r="K282" s="29" t="n"/>
    </row>
    <row r="283">
      <c r="H283" s="29" t="n"/>
      <c r="I283" s="29" t="n"/>
      <c r="J283" s="29" t="n"/>
      <c r="K283" s="29" t="n"/>
    </row>
    <row r="284">
      <c r="H284" s="29" t="n"/>
      <c r="I284" s="29" t="n"/>
      <c r="J284" s="29" t="n"/>
      <c r="K284" s="29" t="n"/>
    </row>
    <row r="285">
      <c r="H285" s="29" t="n"/>
      <c r="I285" s="29" t="n"/>
      <c r="J285" s="29" t="n"/>
      <c r="K285" s="29" t="n"/>
    </row>
    <row r="286">
      <c r="H286" s="29" t="n"/>
      <c r="I286" s="29" t="n"/>
      <c r="J286" s="29" t="n"/>
      <c r="K286" s="29" t="n"/>
    </row>
    <row r="287">
      <c r="H287" s="29" t="n"/>
      <c r="I287" s="29" t="n"/>
      <c r="J287" s="29" t="n"/>
      <c r="K287" s="29" t="n"/>
    </row>
    <row r="288">
      <c r="H288" s="29" t="n"/>
      <c r="I288" s="29" t="n"/>
      <c r="J288" s="29" t="n"/>
      <c r="K288" s="29" t="n"/>
    </row>
    <row r="289">
      <c r="H289" s="29" t="n"/>
      <c r="I289" s="29" t="n"/>
      <c r="J289" s="29" t="n"/>
      <c r="K289" s="29" t="n"/>
    </row>
    <row r="290">
      <c r="H290" s="29" t="n"/>
      <c r="I290" s="29" t="n"/>
      <c r="J290" s="29" t="n"/>
      <c r="K290" s="29" t="n"/>
    </row>
    <row r="291">
      <c r="H291" s="29" t="n"/>
      <c r="I291" s="29" t="n"/>
      <c r="J291" s="29" t="n"/>
      <c r="K291" s="29" t="n"/>
    </row>
    <row r="292">
      <c r="H292" s="29" t="n"/>
      <c r="I292" s="29" t="n"/>
      <c r="J292" s="29" t="n"/>
      <c r="K292" s="29" t="n"/>
    </row>
    <row r="293">
      <c r="H293" s="29" t="n"/>
      <c r="I293" s="29" t="n"/>
      <c r="J293" s="29" t="n"/>
      <c r="K293" s="29" t="n"/>
    </row>
    <row r="294">
      <c r="H294" s="29" t="n"/>
      <c r="I294" s="29" t="n"/>
      <c r="J294" s="29" t="n"/>
      <c r="K294" s="29" t="n"/>
    </row>
    <row r="295">
      <c r="H295" s="29" t="n"/>
      <c r="I295" s="29" t="n"/>
      <c r="J295" s="29" t="n"/>
      <c r="K295" s="29" t="n"/>
    </row>
    <row r="296">
      <c r="H296" s="29" t="n"/>
      <c r="I296" s="29" t="n"/>
      <c r="J296" s="29" t="n"/>
      <c r="K296" s="29" t="n"/>
    </row>
    <row r="297">
      <c r="H297" s="29" t="n"/>
      <c r="I297" s="29" t="n"/>
      <c r="J297" s="29" t="n"/>
      <c r="K297" s="29" t="n"/>
    </row>
    <row r="298">
      <c r="H298" s="29" t="n"/>
      <c r="I298" s="29" t="n"/>
      <c r="J298" s="29" t="n"/>
      <c r="K298" s="29" t="n"/>
    </row>
    <row r="299">
      <c r="H299" s="29" t="n"/>
      <c r="I299" s="29" t="n"/>
      <c r="J299" s="29" t="n"/>
      <c r="K299" s="29" t="n"/>
    </row>
    <row r="300">
      <c r="H300" s="29" t="n"/>
      <c r="I300" s="29" t="n"/>
      <c r="J300" s="29" t="n"/>
      <c r="K300" s="2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0" customWidth="1" min="4" max="4"/>
    <col width="10" customWidth="1" min="5" max="5"/>
    <col width="16" customWidth="1" min="6" max="6"/>
    <col width="30" customWidth="1" min="7" max="7"/>
  </cols>
  <sheetData>
    <row r="1">
      <c r="A1" s="5" t="inlineStr">
        <is>
          <t>Project</t>
        </is>
      </c>
      <c r="B1" s="5" t="inlineStr">
        <is>
          <t>Start Month</t>
        </is>
      </c>
      <c r="C1" s="5" t="inlineStr">
        <is>
          <t>End Month</t>
        </is>
      </c>
      <c r="D1" s="5" t="inlineStr">
        <is>
          <t>StartIdx</t>
        </is>
      </c>
      <c r="E1" s="5" t="inlineStr">
        <is>
          <t>EndIdx</t>
        </is>
      </c>
      <c r="F1" s="5" t="inlineStr">
        <is>
          <t>Duration (months)</t>
        </is>
      </c>
      <c r="G1" s="5" t="inlineStr">
        <is>
          <t>Notes</t>
        </is>
      </c>
    </row>
    <row r="2">
      <c r="A2" s="6" t="inlineStr">
        <is>
          <t>Project A</t>
        </is>
      </c>
      <c r="B2" s="6" t="inlineStr">
        <is>
          <t>Jan</t>
        </is>
      </c>
      <c r="C2" s="6" t="inlineStr">
        <is>
          <t>Mar</t>
        </is>
      </c>
      <c r="D2" s="7">
        <f>IFERROR(MATCH(B2,MonthsList,0),"")</f>
        <v/>
      </c>
      <c r="E2" s="7">
        <f>IFERROR(MATCH(C2,MonthsList,0),"")</f>
        <v/>
      </c>
      <c r="F2" s="7">
        <f>IF(AND(D2&lt;&gt;"",E2&lt;&gt;""),E2-D2+1,"")</f>
        <v/>
      </c>
      <c r="G2" s="6" t="inlineStr">
        <is>
          <t>Example 3-month project</t>
        </is>
      </c>
    </row>
    <row r="3">
      <c r="A3" s="6" t="inlineStr">
        <is>
          <t>Project B</t>
        </is>
      </c>
      <c r="B3" s="6" t="inlineStr">
        <is>
          <t>Jan</t>
        </is>
      </c>
      <c r="C3" s="6" t="inlineStr">
        <is>
          <t>May</t>
        </is>
      </c>
      <c r="D3" s="7">
        <f>IFERROR(MATCH(B3,MonthsList,0),"")</f>
        <v/>
      </c>
      <c r="E3" s="7">
        <f>IFERROR(MATCH(C3,MonthsList,0),"")</f>
        <v/>
      </c>
      <c r="F3" s="7">
        <f>IF(AND(D3&lt;&gt;"",E3&lt;&gt;""),E3-D3+1,"")</f>
        <v/>
      </c>
      <c r="G3" s="6" t="inlineStr">
        <is>
          <t>Example 5-month project</t>
        </is>
      </c>
    </row>
    <row r="4">
      <c r="A4" s="6" t="inlineStr">
        <is>
          <t>Project C</t>
        </is>
      </c>
      <c r="B4" s="6" t="inlineStr">
        <is>
          <t>Jan</t>
        </is>
      </c>
      <c r="C4" s="6" t="inlineStr">
        <is>
          <t>Feb</t>
        </is>
      </c>
      <c r="D4" s="7">
        <f>IFERROR(MATCH(B4,MonthsList,0),"")</f>
        <v/>
      </c>
      <c r="E4" s="7">
        <f>IFERROR(MATCH(C4,MonthsList,0),"")</f>
        <v/>
      </c>
      <c r="F4" s="7">
        <f>IF(AND(D4&lt;&gt;"",E4&lt;&gt;""),E4-D4+1,"")</f>
        <v/>
      </c>
      <c r="G4" s="6" t="inlineStr">
        <is>
          <t>Example 2-month project</t>
        </is>
      </c>
    </row>
    <row r="5">
      <c r="A5" s="6" t="inlineStr">
        <is>
          <t>Project D</t>
        </is>
      </c>
      <c r="B5" s="6" t="inlineStr">
        <is>
          <t>Jul</t>
        </is>
      </c>
      <c r="C5" s="6" t="inlineStr">
        <is>
          <t>Sep</t>
        </is>
      </c>
      <c r="D5" s="7">
        <f>IFERROR(MATCH(B2,MonthsList,0),"")</f>
        <v/>
      </c>
      <c r="E5" s="7">
        <f>IFERROR(MATCH(C2,MonthsList,0),"")</f>
        <v/>
      </c>
      <c r="F5" s="7">
        <f>IF(AND(D2&lt;&gt;"",E2&lt;&gt;""),E2-D2+1,"")</f>
        <v/>
      </c>
      <c r="G5" s="6" t="inlineStr"/>
    </row>
    <row r="6">
      <c r="A6" s="6" t="inlineStr">
        <is>
          <t>Project E</t>
        </is>
      </c>
      <c r="B6" s="6" t="inlineStr">
        <is>
          <t>Oct</t>
        </is>
      </c>
      <c r="C6" s="6" t="inlineStr">
        <is>
          <t>Dec</t>
        </is>
      </c>
      <c r="D6" s="7">
        <f>IFERROR(MATCH(B2,MonthsList,0),"")</f>
        <v/>
      </c>
      <c r="E6" s="7">
        <f>IFERROR(MATCH(C2,MonthsList,0),"")</f>
        <v/>
      </c>
      <c r="F6" s="7">
        <f>IF(AND(D2&lt;&gt;"",E2&lt;&gt;""),E2-D2+1,"")</f>
        <v/>
      </c>
      <c r="G6" s="6" t="inlineStr"/>
    </row>
    <row r="7">
      <c r="A7" s="6" t="inlineStr">
        <is>
          <t>Project F</t>
        </is>
      </c>
      <c r="B7" s="6" t="inlineStr">
        <is>
          <t>Aug</t>
        </is>
      </c>
      <c r="C7" s="6" t="inlineStr">
        <is>
          <t>Nov</t>
        </is>
      </c>
      <c r="D7" s="7">
        <f>IFERROR(MATCH(B2,MonthsList,0),"")</f>
        <v/>
      </c>
      <c r="E7" s="7">
        <f>IFERROR(MATCH(C2,MonthsList,0),"")</f>
        <v/>
      </c>
      <c r="F7" s="7">
        <f>IF(AND(D2&lt;&gt;"",E2&lt;&gt;""),E2-D2+1,"")</f>
        <v/>
      </c>
      <c r="G7" s="6" t="inlineStr"/>
    </row>
    <row r="8">
      <c r="A8" s="6" t="inlineStr"/>
      <c r="B8" s="6" t="inlineStr"/>
      <c r="C8" s="6" t="inlineStr"/>
      <c r="D8" s="7">
        <f>IFERROR(MATCH(B8,MonthsList,0),"")</f>
        <v/>
      </c>
      <c r="E8" s="7">
        <f>IFERROR(MATCH(C8,MonthsList,0),"")</f>
        <v/>
      </c>
      <c r="F8" s="7">
        <f>IF(AND(D8&lt;&gt;"",E8&lt;&gt;""),E8-D8+1,"")</f>
        <v/>
      </c>
      <c r="G8" s="6" t="inlineStr"/>
    </row>
    <row r="9">
      <c r="A9" s="6" t="inlineStr"/>
      <c r="B9" s="6" t="inlineStr"/>
      <c r="C9" s="6" t="inlineStr"/>
      <c r="D9" s="7">
        <f>IFERROR(MATCH(B9,MonthsList,0),"")</f>
        <v/>
      </c>
      <c r="E9" s="7">
        <f>IFERROR(MATCH(C9,MonthsList,0),"")</f>
        <v/>
      </c>
      <c r="F9" s="7">
        <f>IF(AND(D9&lt;&gt;"",E9&lt;&gt;""),E9-D9+1,"")</f>
        <v/>
      </c>
      <c r="G9" s="6" t="inlineStr"/>
    </row>
    <row r="10">
      <c r="A10" s="6" t="inlineStr"/>
      <c r="B10" s="6" t="inlineStr"/>
      <c r="C10" s="6" t="inlineStr"/>
      <c r="D10" s="7">
        <f>IFERROR(MATCH(B10,MonthsList,0),"")</f>
        <v/>
      </c>
      <c r="E10" s="7">
        <f>IFERROR(MATCH(C10,MonthsList,0),"")</f>
        <v/>
      </c>
      <c r="F10" s="7">
        <f>IF(AND(D10&lt;&gt;"",E10&lt;&gt;""),E10-D10+1,"")</f>
        <v/>
      </c>
      <c r="G10" s="6" t="inlineStr"/>
    </row>
    <row r="11">
      <c r="A11" s="6" t="inlineStr"/>
      <c r="B11" s="6" t="inlineStr"/>
      <c r="C11" s="6" t="inlineStr"/>
      <c r="D11" s="7">
        <f>IFERROR(MATCH(B11,MonthsList,0),"")</f>
        <v/>
      </c>
      <c r="E11" s="7">
        <f>IFERROR(MATCH(C11,MonthsList,0),"")</f>
        <v/>
      </c>
      <c r="F11" s="7">
        <f>IF(AND(D11&lt;&gt;"",E11&lt;&gt;""),E11-D11+1,"")</f>
        <v/>
      </c>
      <c r="G11" s="6" t="inlineStr"/>
    </row>
    <row r="12">
      <c r="A12" s="6" t="inlineStr"/>
      <c r="B12" s="6" t="inlineStr"/>
      <c r="C12" s="6" t="inlineStr"/>
      <c r="D12" s="7">
        <f>IFERROR(MATCH(B12,MonthsList,0),"")</f>
        <v/>
      </c>
      <c r="E12" s="7">
        <f>IFERROR(MATCH(C12,MonthsList,0),"")</f>
        <v/>
      </c>
      <c r="F12" s="7">
        <f>IF(AND(D12&lt;&gt;"",E12&lt;&gt;""),E12-D12+1,"")</f>
        <v/>
      </c>
      <c r="G12" s="6" t="inlineStr"/>
    </row>
    <row r="13">
      <c r="A13" s="6" t="inlineStr"/>
      <c r="B13" s="6" t="inlineStr"/>
      <c r="C13" s="6" t="inlineStr"/>
      <c r="D13" s="7">
        <f>IFERROR(MATCH(B13,MonthsList,0),"")</f>
        <v/>
      </c>
      <c r="E13" s="7">
        <f>IFERROR(MATCH(C13,MonthsList,0),"")</f>
        <v/>
      </c>
      <c r="F13" s="7">
        <f>IF(AND(D13&lt;&gt;"",E13&lt;&gt;""),E13-D13+1,"")</f>
        <v/>
      </c>
      <c r="G13" s="6" t="inlineStr"/>
    </row>
    <row r="14">
      <c r="A14" s="6" t="inlineStr"/>
      <c r="B14" s="6" t="inlineStr"/>
      <c r="C14" s="6" t="inlineStr"/>
      <c r="D14" s="7">
        <f>IFERROR(MATCH(B14,MonthsList,0),"")</f>
        <v/>
      </c>
      <c r="E14" s="7">
        <f>IFERROR(MATCH(C14,MonthsList,0),"")</f>
        <v/>
      </c>
      <c r="F14" s="7">
        <f>IF(AND(D14&lt;&gt;"",E14&lt;&gt;""),E14-D14+1,"")</f>
        <v/>
      </c>
      <c r="G14" s="6" t="inlineStr"/>
    </row>
    <row r="15">
      <c r="A15" s="6" t="inlineStr"/>
      <c r="B15" s="6" t="inlineStr"/>
      <c r="C15" s="6" t="inlineStr"/>
      <c r="D15" s="7">
        <f>IFERROR(MATCH(B15,MonthsList,0),"")</f>
        <v/>
      </c>
      <c r="E15" s="7">
        <f>IFERROR(MATCH(C15,MonthsList,0),"")</f>
        <v/>
      </c>
      <c r="F15" s="7">
        <f>IF(AND(D15&lt;&gt;"",E15&lt;&gt;""),E15-D15+1,"")</f>
        <v/>
      </c>
      <c r="G15" s="6" t="inlineStr"/>
    </row>
    <row r="16">
      <c r="A16" s="6" t="inlineStr"/>
      <c r="B16" s="6" t="inlineStr"/>
      <c r="C16" s="6" t="inlineStr"/>
      <c r="D16" s="7">
        <f>IFERROR(MATCH(B16,MonthsList,0),"")</f>
        <v/>
      </c>
      <c r="E16" s="7">
        <f>IFERROR(MATCH(C16,MonthsList,0),"")</f>
        <v/>
      </c>
      <c r="F16" s="7">
        <f>IF(AND(D16&lt;&gt;"",E16&lt;&gt;""),E16-D16+1,"")</f>
        <v/>
      </c>
      <c r="G16" s="6" t="inlineStr"/>
    </row>
    <row r="17">
      <c r="A17" s="6" t="inlineStr"/>
      <c r="B17" s="6" t="inlineStr"/>
      <c r="C17" s="6" t="inlineStr"/>
      <c r="D17" s="7">
        <f>IFERROR(MATCH(B17,MonthsList,0),"")</f>
        <v/>
      </c>
      <c r="E17" s="7">
        <f>IFERROR(MATCH(C17,MonthsList,0),"")</f>
        <v/>
      </c>
      <c r="F17" s="7">
        <f>IF(AND(D17&lt;&gt;"",E17&lt;&gt;""),E17-D17+1,"")</f>
        <v/>
      </c>
      <c r="G17" s="6" t="inlineStr"/>
    </row>
    <row r="18">
      <c r="A18" s="6" t="inlineStr"/>
      <c r="B18" s="6" t="inlineStr"/>
      <c r="C18" s="6" t="inlineStr"/>
      <c r="D18" s="7">
        <f>IFERROR(MATCH(B18,MonthsList,0),"")</f>
        <v/>
      </c>
      <c r="E18" s="7">
        <f>IFERROR(MATCH(C18,MonthsList,0),"")</f>
        <v/>
      </c>
      <c r="F18" s="7">
        <f>IF(AND(D18&lt;&gt;"",E18&lt;&gt;""),E18-D18+1,"")</f>
        <v/>
      </c>
      <c r="G18" s="6" t="inlineStr"/>
    </row>
    <row r="19">
      <c r="A19" s="6" t="inlineStr"/>
      <c r="B19" s="6" t="inlineStr"/>
      <c r="C19" s="6" t="inlineStr"/>
      <c r="D19" s="7">
        <f>IFERROR(MATCH(B19,MonthsList,0),"")</f>
        <v/>
      </c>
      <c r="E19" s="7">
        <f>IFERROR(MATCH(C19,MonthsList,0),"")</f>
        <v/>
      </c>
      <c r="F19" s="7">
        <f>IF(AND(D19&lt;&gt;"",E19&lt;&gt;""),E19-D19+1,"")</f>
        <v/>
      </c>
      <c r="G19" s="6" t="inlineStr"/>
    </row>
    <row r="20">
      <c r="A20" s="6" t="inlineStr"/>
      <c r="B20" s="6" t="inlineStr"/>
      <c r="C20" s="6" t="inlineStr"/>
      <c r="D20" s="7">
        <f>IFERROR(MATCH(B20,MonthsList,0),"")</f>
        <v/>
      </c>
      <c r="E20" s="7">
        <f>IFERROR(MATCH(C20,MonthsList,0),"")</f>
        <v/>
      </c>
      <c r="F20" s="7">
        <f>IF(AND(D20&lt;&gt;"",E20&lt;&gt;""),E20-D20+1,"")</f>
        <v/>
      </c>
      <c r="G20" s="6" t="inlineStr"/>
    </row>
    <row r="21">
      <c r="A21" s="6" t="inlineStr"/>
      <c r="B21" s="6" t="inlineStr"/>
      <c r="C21" s="6" t="inlineStr"/>
      <c r="D21" s="7">
        <f>IFERROR(MATCH(B21,MonthsList,0),"")</f>
        <v/>
      </c>
      <c r="E21" s="7">
        <f>IFERROR(MATCH(C21,MonthsList,0),"")</f>
        <v/>
      </c>
      <c r="F21" s="7">
        <f>IF(AND(D21&lt;&gt;"",E21&lt;&gt;""),E21-D21+1,"")</f>
        <v/>
      </c>
      <c r="G21" s="6" t="inlineStr"/>
    </row>
    <row r="22">
      <c r="A22" s="6" t="inlineStr"/>
      <c r="B22" s="6" t="inlineStr"/>
      <c r="C22" s="6" t="inlineStr"/>
      <c r="D22" s="7">
        <f>IFERROR(MATCH(B22,MonthsList,0),"")</f>
        <v/>
      </c>
      <c r="E22" s="7">
        <f>IFERROR(MATCH(C22,MonthsList,0),"")</f>
        <v/>
      </c>
      <c r="F22" s="7">
        <f>IF(AND(D22&lt;&gt;"",E22&lt;&gt;""),E22-D22+1,"")</f>
        <v/>
      </c>
      <c r="G22" s="6" t="inlineStr"/>
    </row>
    <row r="23">
      <c r="A23" s="6" t="inlineStr"/>
      <c r="B23" s="6" t="inlineStr"/>
      <c r="C23" s="6" t="inlineStr"/>
      <c r="D23" s="7">
        <f>IFERROR(MATCH(B23,MonthsList,0),"")</f>
        <v/>
      </c>
      <c r="E23" s="7">
        <f>IFERROR(MATCH(C23,MonthsList,0),"")</f>
        <v/>
      </c>
      <c r="F23" s="7">
        <f>IF(AND(D23&lt;&gt;"",E23&lt;&gt;""),E23-D23+1,"")</f>
        <v/>
      </c>
      <c r="G23" s="6" t="inlineStr"/>
    </row>
    <row r="24">
      <c r="A24" s="6" t="inlineStr"/>
      <c r="B24" s="6" t="inlineStr"/>
      <c r="C24" s="6" t="inlineStr"/>
      <c r="D24" s="7">
        <f>IFERROR(MATCH(B24,MonthsList,0),"")</f>
        <v/>
      </c>
      <c r="E24" s="7">
        <f>IFERROR(MATCH(C24,MonthsList,0),"")</f>
        <v/>
      </c>
      <c r="F24" s="7">
        <f>IF(AND(D24&lt;&gt;"",E24&lt;&gt;""),E24-D24+1,"")</f>
        <v/>
      </c>
      <c r="G24" s="6" t="inlineStr"/>
    </row>
    <row r="25">
      <c r="A25" s="6" t="inlineStr"/>
      <c r="B25" s="6" t="inlineStr"/>
      <c r="C25" s="6" t="inlineStr"/>
      <c r="D25" s="7">
        <f>IFERROR(MATCH(B25,MonthsList,0),"")</f>
        <v/>
      </c>
      <c r="E25" s="7">
        <f>IFERROR(MATCH(C25,MonthsList,0),"")</f>
        <v/>
      </c>
      <c r="F25" s="7">
        <f>IF(AND(D25&lt;&gt;"",E25&lt;&gt;""),E25-D25+1,"")</f>
        <v/>
      </c>
      <c r="G25" s="6" t="inlineStr"/>
    </row>
  </sheetData>
  <dataValidations count="1">
    <dataValidation sqref="B2:B25 C2:C25" showDropDown="0" showInputMessage="0" showErrorMessage="0" allowBlank="1" type="list">
      <formula1>=MonthsList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00"/>
  <sheetViews>
    <sheetView workbookViewId="0">
      <pane xSplit="7" ySplit="2" topLeftCell="H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  <col hidden="1" width="9" customWidth="1" min="5" max="5"/>
    <col hidden="1" width="9" customWidth="1" min="6" max="6"/>
    <col width="10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</cols>
  <sheetData>
    <row r="1" hidden="1">
      <c r="H1" t="n">
        <v>1</v>
      </c>
      <c r="I1" t="n">
        <v>2</v>
      </c>
      <c r="J1" t="n">
        <v>3</v>
      </c>
      <c r="K1" t="n">
        <v>4</v>
      </c>
      <c r="L1" t="n">
        <v>5</v>
      </c>
      <c r="M1" t="n">
        <v>6</v>
      </c>
      <c r="N1" t="n">
        <v>7</v>
      </c>
      <c r="O1" t="n">
        <v>8</v>
      </c>
      <c r="P1" t="n">
        <v>9</v>
      </c>
      <c r="Q1" t="n">
        <v>10</v>
      </c>
      <c r="R1" t="n">
        <v>11</v>
      </c>
      <c r="S1" t="n">
        <v>12</v>
      </c>
    </row>
    <row r="2">
      <c r="A2" s="8" t="inlineStr">
        <is>
          <t>Developer</t>
        </is>
      </c>
      <c r="B2" s="8" t="inlineStr">
        <is>
          <t>Project</t>
        </is>
      </c>
      <c r="C2" s="8" t="inlineStr">
        <is>
          <t>Start Month</t>
        </is>
      </c>
      <c r="D2" s="8" t="inlineStr">
        <is>
          <t>End Month</t>
        </is>
      </c>
      <c r="E2" s="8" t="inlineStr">
        <is>
          <t>StartIdx</t>
        </is>
      </c>
      <c r="F2" s="8" t="inlineStr">
        <is>
          <t>EndIdx</t>
        </is>
      </c>
      <c r="G2" s="8" t="inlineStr">
        <is>
          <t>Row Total</t>
        </is>
      </c>
      <c r="H2" s="8" t="inlineStr">
        <is>
          <t>Jan</t>
        </is>
      </c>
      <c r="I2" s="8" t="inlineStr">
        <is>
          <t>Feb</t>
        </is>
      </c>
      <c r="J2" s="8" t="inlineStr">
        <is>
          <t>Mar</t>
        </is>
      </c>
      <c r="K2" s="8" t="inlineStr">
        <is>
          <t>Apr</t>
        </is>
      </c>
      <c r="L2" s="8" t="inlineStr">
        <is>
          <t>May</t>
        </is>
      </c>
      <c r="M2" s="8" t="inlineStr">
        <is>
          <t>Jun</t>
        </is>
      </c>
      <c r="N2" s="8" t="inlineStr">
        <is>
          <t>Jul</t>
        </is>
      </c>
      <c r="O2" s="8" t="inlineStr">
        <is>
          <t>Aug</t>
        </is>
      </c>
      <c r="P2" s="8" t="inlineStr">
        <is>
          <t>Sep</t>
        </is>
      </c>
      <c r="Q2" s="8" t="inlineStr">
        <is>
          <t>Oct</t>
        </is>
      </c>
      <c r="R2" s="8" t="inlineStr">
        <is>
          <t>Nov</t>
        </is>
      </c>
      <c r="S2" s="8" t="inlineStr">
        <is>
          <t>Dec</t>
        </is>
      </c>
      <c r="T2" s="22" t="inlineStr">
        <is>
          <t>DevRate</t>
        </is>
      </c>
      <c r="U2" t="inlineStr">
        <is>
          <t>Feb Cost</t>
        </is>
      </c>
      <c r="V2" t="inlineStr">
        <is>
          <t>Mar Cost</t>
        </is>
      </c>
      <c r="W2" t="inlineStr">
        <is>
          <t>Apr Cost</t>
        </is>
      </c>
      <c r="X2" t="inlineStr">
        <is>
          <t>May Cost</t>
        </is>
      </c>
      <c r="Y2" t="inlineStr">
        <is>
          <t>Jun Cost</t>
        </is>
      </c>
      <c r="Z2" t="inlineStr">
        <is>
          <t>Jul Cost</t>
        </is>
      </c>
      <c r="AA2" t="inlineStr">
        <is>
          <t>Aug Cost</t>
        </is>
      </c>
      <c r="AB2" t="inlineStr">
        <is>
          <t>Sep Cost</t>
        </is>
      </c>
      <c r="AC2" t="inlineStr">
        <is>
          <t>Oct Cost</t>
        </is>
      </c>
      <c r="AD2" t="inlineStr">
        <is>
          <t>Nov Cost</t>
        </is>
      </c>
      <c r="AE2" t="inlineStr">
        <is>
          <t>Dec Cost</t>
        </is>
      </c>
    </row>
    <row r="3">
      <c r="A3" s="6" t="inlineStr">
        <is>
          <t>Dev 1</t>
        </is>
      </c>
      <c r="B3" s="6" t="inlineStr">
        <is>
          <t>Project A</t>
        </is>
      </c>
      <c r="C3" s="6">
        <f>IFERROR(VLOOKUP($B3,Projects!$A$2:$G$50,2,FALSE),"")</f>
        <v/>
      </c>
      <c r="D3" s="6">
        <f>IFERROR(VLOOKUP($B3,Projects!$A$2:$G$50,3,FALSE),"")</f>
        <v/>
      </c>
      <c r="E3" s="6">
        <f>IFERROR(VLOOKUP($B3,Projects!$A$2:$G$50,4,FALSE),"")</f>
        <v/>
      </c>
      <c r="F3" s="6">
        <f>IFERROR(VLOOKUP($B3,Projects!$A$2:$G$50,5,FALSE),"")</f>
        <v/>
      </c>
      <c r="G3" s="9">
        <f>SUM(H3:S3)</f>
        <v/>
      </c>
      <c r="H3" s="9" t="n">
        <v>0.5</v>
      </c>
      <c r="I3" s="9" t="n">
        <v>0.25</v>
      </c>
      <c r="J3" s="9" t="n">
        <v>0.25</v>
      </c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19">
        <f>IF($A3="","",VLOOKUP($A3,DevRateTable,3,FALSE))</f>
        <v/>
      </c>
      <c r="U3" s="16">
        <f>IF(I3="","",I3*IFERROR(VLOOKUP($A3&amp;"|Feb",Lists!$J:$L,2,FALSE),0)*IFERROR(VLOOKUP($A3&amp;"|Feb",Lists!$J:$L,3,FALSE),0))</f>
        <v/>
      </c>
      <c r="V3" s="16">
        <f>IF(J3="","",J3*IFERROR(VLOOKUP($A3&amp;"|Mar",Lists!$J:$L,2,FALSE),0)*IFERROR(VLOOKUP($A3&amp;"|Mar",Lists!$J:$L,3,FALSE),0))</f>
        <v/>
      </c>
      <c r="W3" s="16">
        <f>IF(K3="","",K3*IFERROR(VLOOKUP($A3&amp;"|Apr",Lists!$J:$L,2,FALSE),0)*IFERROR(VLOOKUP($A3&amp;"|Apr",Lists!$J:$L,3,FALSE),0))</f>
        <v/>
      </c>
      <c r="X3" s="16">
        <f>IF(L3="","",L3*IFERROR(VLOOKUP($A3&amp;"|May",Lists!$J:$L,2,FALSE),0)*IFERROR(VLOOKUP($A3&amp;"|May",Lists!$J:$L,3,FALSE),0))</f>
        <v/>
      </c>
      <c r="Y3" s="16">
        <f>IF(M3="","",M3*IFERROR(VLOOKUP($A3&amp;"|Jun",Lists!$J:$L,2,FALSE),0)*IFERROR(VLOOKUP($A3&amp;"|Jun",Lists!$J:$L,3,FALSE),0))</f>
        <v/>
      </c>
      <c r="Z3" s="16">
        <f>IF(N3="","",N3*IFERROR(VLOOKUP($A3&amp;"|Jul",Lists!$J:$L,2,FALSE),0)*IFERROR(VLOOKUP($A3&amp;"|Jul",Lists!$J:$L,3,FALSE),0))</f>
        <v/>
      </c>
      <c r="AA3" s="16">
        <f>IF(O3="","",O3*IFERROR(VLOOKUP($A3&amp;"|Aug",Lists!$J:$L,2,FALSE),0)*IFERROR(VLOOKUP($A3&amp;"|Aug",Lists!$J:$L,3,FALSE),0))</f>
        <v/>
      </c>
      <c r="AB3" s="16">
        <f>IF(P3="","",P3*IFERROR(VLOOKUP($A3&amp;"|Sep",Lists!$J:$L,2,FALSE),0)*IFERROR(VLOOKUP($A3&amp;"|Sep",Lists!$J:$L,3,FALSE),0))</f>
        <v/>
      </c>
      <c r="AC3" s="16">
        <f>IF(Q3="","",Q3*IFERROR(VLOOKUP($A3&amp;"|Oct",Lists!$J:$L,2,FALSE),0)*IFERROR(VLOOKUP($A3&amp;"|Oct",Lists!$J:$L,3,FALSE),0))</f>
        <v/>
      </c>
      <c r="AD3" s="16">
        <f>IF(R3="","",R3*IFERROR(VLOOKUP($A3&amp;"|Nov",Lists!$J:$L,2,FALSE),0)*IFERROR(VLOOKUP($A3&amp;"|Nov",Lists!$J:$L,3,FALSE),0))</f>
        <v/>
      </c>
      <c r="AE3" s="16">
        <f>IF(S3="","",S3*IFERROR(VLOOKUP($A3&amp;"|Dec",Lists!$J:$L,2,FALSE),0)*IFERROR(VLOOKUP($A3&amp;"|Dec",Lists!$J:$L,3,FALSE),0))</f>
        <v/>
      </c>
    </row>
    <row r="4">
      <c r="A4" s="6" t="inlineStr">
        <is>
          <t>Dev 1</t>
        </is>
      </c>
      <c r="B4" s="6" t="inlineStr">
        <is>
          <t>Project B</t>
        </is>
      </c>
      <c r="C4" s="6">
        <f>IFERROR(VLOOKUP($B4,Projects!$A$2:$G$50,2,FALSE),"")</f>
        <v/>
      </c>
      <c r="D4" s="6">
        <f>IFERROR(VLOOKUP($B4,Projects!$A$2:$G$50,3,FALSE),"")</f>
        <v/>
      </c>
      <c r="E4" s="6">
        <f>IFERROR(VLOOKUP($B4,Projects!$A$2:$G$50,4,FALSE),"")</f>
        <v/>
      </c>
      <c r="F4" s="6">
        <f>IFERROR(VLOOKUP($B4,Projects!$A$2:$G$50,5,FALSE),"")</f>
        <v/>
      </c>
      <c r="G4" s="9">
        <f>SUM(H4:S4)</f>
        <v/>
      </c>
      <c r="H4" s="9" t="n">
        <v>0.25</v>
      </c>
      <c r="I4" s="9" t="n">
        <v>0.25</v>
      </c>
      <c r="J4" s="9" t="n">
        <v>0.25</v>
      </c>
      <c r="K4" s="9" t="n">
        <v>0.5</v>
      </c>
      <c r="L4" s="9" t="n">
        <v>0.5</v>
      </c>
      <c r="M4" s="9" t="n"/>
      <c r="N4" s="9" t="n"/>
      <c r="O4" s="9" t="n"/>
      <c r="P4" s="9" t="n"/>
      <c r="Q4" s="9" t="n"/>
      <c r="R4" s="9" t="n"/>
      <c r="S4" s="9" t="n"/>
      <c r="T4" s="19">
        <f>IF($A4="","",VLOOKUP($A4,DevRateTable,3,FALSE))</f>
        <v/>
      </c>
      <c r="U4" s="16">
        <f>IF(I4="","",I4*IFERROR(VLOOKUP($A4&amp;"|Feb",Lists!$J:$L,2,FALSE),0)*IFERROR(VLOOKUP($A4&amp;"|Feb",Lists!$J:$L,3,FALSE),0))</f>
        <v/>
      </c>
      <c r="V4" s="16">
        <f>IF(J4="","",J4*IFERROR(VLOOKUP($A4&amp;"|Mar",Lists!$J:$L,2,FALSE),0)*IFERROR(VLOOKUP($A4&amp;"|Mar",Lists!$J:$L,3,FALSE),0))</f>
        <v/>
      </c>
      <c r="W4" s="16">
        <f>IF(K4="","",K4*IFERROR(VLOOKUP($A4&amp;"|Apr",Lists!$J:$L,2,FALSE),0)*IFERROR(VLOOKUP($A4&amp;"|Apr",Lists!$J:$L,3,FALSE),0))</f>
        <v/>
      </c>
      <c r="X4" s="16">
        <f>IF(L4="","",L4*IFERROR(VLOOKUP($A4&amp;"|May",Lists!$J:$L,2,FALSE),0)*IFERROR(VLOOKUP($A4&amp;"|May",Lists!$J:$L,3,FALSE),0))</f>
        <v/>
      </c>
      <c r="Y4" s="16">
        <f>IF(M4="","",M4*IFERROR(VLOOKUP($A4&amp;"|Jun",Lists!$J:$L,2,FALSE),0)*IFERROR(VLOOKUP($A4&amp;"|Jun",Lists!$J:$L,3,FALSE),0))</f>
        <v/>
      </c>
      <c r="Z4" s="16">
        <f>IF(N4="","",N4*IFERROR(VLOOKUP($A4&amp;"|Jul",Lists!$J:$L,2,FALSE),0)*IFERROR(VLOOKUP($A4&amp;"|Jul",Lists!$J:$L,3,FALSE),0))</f>
        <v/>
      </c>
      <c r="AA4" s="16">
        <f>IF(O4="","",O4*IFERROR(VLOOKUP($A4&amp;"|Aug",Lists!$J:$L,2,FALSE),0)*IFERROR(VLOOKUP($A4&amp;"|Aug",Lists!$J:$L,3,FALSE),0))</f>
        <v/>
      </c>
      <c r="AB4" s="16">
        <f>IF(P4="","",P4*IFERROR(VLOOKUP($A4&amp;"|Sep",Lists!$J:$L,2,FALSE),0)*IFERROR(VLOOKUP($A4&amp;"|Sep",Lists!$J:$L,3,FALSE),0))</f>
        <v/>
      </c>
      <c r="AC4" s="16">
        <f>IF(Q4="","",Q4*IFERROR(VLOOKUP($A4&amp;"|Oct",Lists!$J:$L,2,FALSE),0)*IFERROR(VLOOKUP($A4&amp;"|Oct",Lists!$J:$L,3,FALSE),0))</f>
        <v/>
      </c>
      <c r="AD4" s="16">
        <f>IF(R4="","",R4*IFERROR(VLOOKUP($A4&amp;"|Nov",Lists!$J:$L,2,FALSE),0)*IFERROR(VLOOKUP($A4&amp;"|Nov",Lists!$J:$L,3,FALSE),0))</f>
        <v/>
      </c>
      <c r="AE4" s="16">
        <f>IF(S4="","",S4*IFERROR(VLOOKUP($A4&amp;"|Dec",Lists!$J:$L,2,FALSE),0)*IFERROR(VLOOKUP($A4&amp;"|Dec",Lists!$J:$L,3,FALSE),0))</f>
        <v/>
      </c>
    </row>
    <row r="5">
      <c r="A5" s="6" t="inlineStr">
        <is>
          <t>Dev 2</t>
        </is>
      </c>
      <c r="B5" s="6" t="inlineStr">
        <is>
          <t>Project A</t>
        </is>
      </c>
      <c r="C5" s="6">
        <f>IFERROR(VLOOKUP($B5,Projects!$A$2:$G$50,2,FALSE),"")</f>
        <v/>
      </c>
      <c r="D5" s="6">
        <f>IFERROR(VLOOKUP($B5,Projects!$A$2:$G$50,3,FALSE),"")</f>
        <v/>
      </c>
      <c r="E5" s="6">
        <f>IFERROR(VLOOKUP($B5,Projects!$A$2:$G$50,4,FALSE),"")</f>
        <v/>
      </c>
      <c r="F5" s="6">
        <f>IFERROR(VLOOKUP($B5,Projects!$A$2:$G$50,5,FALSE),"")</f>
        <v/>
      </c>
      <c r="G5" s="9">
        <f>SUM(H5:S5)</f>
        <v/>
      </c>
      <c r="H5" s="9" t="n"/>
      <c r="I5" s="9" t="n">
        <v>0.5</v>
      </c>
      <c r="J5" s="9" t="n">
        <v>0.5</v>
      </c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19">
        <f>IF($A5="","",VLOOKUP($A5,DevRateTable,3,FALSE))</f>
        <v/>
      </c>
      <c r="U5" s="16">
        <f>IF(I5="","",I5*IFERROR(VLOOKUP($A5&amp;"|Feb",Lists!$J:$L,2,FALSE),0)*IFERROR(VLOOKUP($A5&amp;"|Feb",Lists!$J:$L,3,FALSE),0))</f>
        <v/>
      </c>
      <c r="V5" s="16">
        <f>IF(J5="","",J5*IFERROR(VLOOKUP($A5&amp;"|Mar",Lists!$J:$L,2,FALSE),0)*IFERROR(VLOOKUP($A5&amp;"|Mar",Lists!$J:$L,3,FALSE),0))</f>
        <v/>
      </c>
      <c r="W5" s="16">
        <f>IF(K5="","",K5*IFERROR(VLOOKUP($A5&amp;"|Apr",Lists!$J:$L,2,FALSE),0)*IFERROR(VLOOKUP($A5&amp;"|Apr",Lists!$J:$L,3,FALSE),0))</f>
        <v/>
      </c>
      <c r="X5" s="16">
        <f>IF(L5="","",L5*IFERROR(VLOOKUP($A5&amp;"|May",Lists!$J:$L,2,FALSE),0)*IFERROR(VLOOKUP($A5&amp;"|May",Lists!$J:$L,3,FALSE),0))</f>
        <v/>
      </c>
      <c r="Y5" s="16">
        <f>IF(M5="","",M5*IFERROR(VLOOKUP($A5&amp;"|Jun",Lists!$J:$L,2,FALSE),0)*IFERROR(VLOOKUP($A5&amp;"|Jun",Lists!$J:$L,3,FALSE),0))</f>
        <v/>
      </c>
      <c r="Z5" s="16">
        <f>IF(N5="","",N5*IFERROR(VLOOKUP($A5&amp;"|Jul",Lists!$J:$L,2,FALSE),0)*IFERROR(VLOOKUP($A5&amp;"|Jul",Lists!$J:$L,3,FALSE),0))</f>
        <v/>
      </c>
      <c r="AA5" s="16">
        <f>IF(O5="","",O5*IFERROR(VLOOKUP($A5&amp;"|Aug",Lists!$J:$L,2,FALSE),0)*IFERROR(VLOOKUP($A5&amp;"|Aug",Lists!$J:$L,3,FALSE),0))</f>
        <v/>
      </c>
      <c r="AB5" s="16">
        <f>IF(P5="","",P5*IFERROR(VLOOKUP($A5&amp;"|Sep",Lists!$J:$L,2,FALSE),0)*IFERROR(VLOOKUP($A5&amp;"|Sep",Lists!$J:$L,3,FALSE),0))</f>
        <v/>
      </c>
      <c r="AC5" s="16">
        <f>IF(Q5="","",Q5*IFERROR(VLOOKUP($A5&amp;"|Oct",Lists!$J:$L,2,FALSE),0)*IFERROR(VLOOKUP($A5&amp;"|Oct",Lists!$J:$L,3,FALSE),0))</f>
        <v/>
      </c>
      <c r="AD5" s="16">
        <f>IF(R5="","",R5*IFERROR(VLOOKUP($A5&amp;"|Nov",Lists!$J:$L,2,FALSE),0)*IFERROR(VLOOKUP($A5&amp;"|Nov",Lists!$J:$L,3,FALSE),0))</f>
        <v/>
      </c>
      <c r="AE5" s="16">
        <f>IF(S5="","",S5*IFERROR(VLOOKUP($A5&amp;"|Dec",Lists!$J:$L,2,FALSE),0)*IFERROR(VLOOKUP($A5&amp;"|Dec",Lists!$J:$L,3,FALSE),0))</f>
        <v/>
      </c>
    </row>
    <row r="6">
      <c r="A6" s="6" t="inlineStr">
        <is>
          <t>Dev 2</t>
        </is>
      </c>
      <c r="B6" s="6" t="inlineStr">
        <is>
          <t>Project C</t>
        </is>
      </c>
      <c r="C6" s="6">
        <f>IFERROR(VLOOKUP($B6,Projects!$A$2:$G$50,2,FALSE),"")</f>
        <v/>
      </c>
      <c r="D6" s="6">
        <f>IFERROR(VLOOKUP($B6,Projects!$A$2:$G$50,3,FALSE),"")</f>
        <v/>
      </c>
      <c r="E6" s="6">
        <f>IFERROR(VLOOKUP($B6,Projects!$A$2:$G$50,4,FALSE),"")</f>
        <v/>
      </c>
      <c r="F6" s="6">
        <f>IFERROR(VLOOKUP($B6,Projects!$A$2:$G$50,5,FALSE),"")</f>
        <v/>
      </c>
      <c r="G6" s="9">
        <f>SUM(H6:S6)</f>
        <v/>
      </c>
      <c r="H6" s="9" t="n">
        <v>0.5</v>
      </c>
      <c r="I6" s="9" t="n">
        <v>0.5</v>
      </c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19">
        <f>IF($A6="","",VLOOKUP($A6,DevRateTable,3,FALSE))</f>
        <v/>
      </c>
      <c r="U6" s="16">
        <f>IF(I6="","",I6*IFERROR(VLOOKUP($A6&amp;"|Feb",Lists!$J:$L,2,FALSE),0)*IFERROR(VLOOKUP($A6&amp;"|Feb",Lists!$J:$L,3,FALSE),0))</f>
        <v/>
      </c>
      <c r="V6" s="16">
        <f>IF(J6="","",J6*IFERROR(VLOOKUP($A6&amp;"|Mar",Lists!$J:$L,2,FALSE),0)*IFERROR(VLOOKUP($A6&amp;"|Mar",Lists!$J:$L,3,FALSE),0))</f>
        <v/>
      </c>
      <c r="W6" s="16">
        <f>IF(K6="","",K6*IFERROR(VLOOKUP($A6&amp;"|Apr",Lists!$J:$L,2,FALSE),0)*IFERROR(VLOOKUP($A6&amp;"|Apr",Lists!$J:$L,3,FALSE),0))</f>
        <v/>
      </c>
      <c r="X6" s="16">
        <f>IF(L6="","",L6*IFERROR(VLOOKUP($A6&amp;"|May",Lists!$J:$L,2,FALSE),0)*IFERROR(VLOOKUP($A6&amp;"|May",Lists!$J:$L,3,FALSE),0))</f>
        <v/>
      </c>
      <c r="Y6" s="16">
        <f>IF(M6="","",M6*IFERROR(VLOOKUP($A6&amp;"|Jun",Lists!$J:$L,2,FALSE),0)*IFERROR(VLOOKUP($A6&amp;"|Jun",Lists!$J:$L,3,FALSE),0))</f>
        <v/>
      </c>
      <c r="Z6" s="16">
        <f>IF(N6="","",N6*IFERROR(VLOOKUP($A6&amp;"|Jul",Lists!$J:$L,2,FALSE),0)*IFERROR(VLOOKUP($A6&amp;"|Jul",Lists!$J:$L,3,FALSE),0))</f>
        <v/>
      </c>
      <c r="AA6" s="16">
        <f>IF(O6="","",O6*IFERROR(VLOOKUP($A6&amp;"|Aug",Lists!$J:$L,2,FALSE),0)*IFERROR(VLOOKUP($A6&amp;"|Aug",Lists!$J:$L,3,FALSE),0))</f>
        <v/>
      </c>
      <c r="AB6" s="16">
        <f>IF(P6="","",P6*IFERROR(VLOOKUP($A6&amp;"|Sep",Lists!$J:$L,2,FALSE),0)*IFERROR(VLOOKUP($A6&amp;"|Sep",Lists!$J:$L,3,FALSE),0))</f>
        <v/>
      </c>
      <c r="AC6" s="16">
        <f>IF(Q6="","",Q6*IFERROR(VLOOKUP($A6&amp;"|Oct",Lists!$J:$L,2,FALSE),0)*IFERROR(VLOOKUP($A6&amp;"|Oct",Lists!$J:$L,3,FALSE),0))</f>
        <v/>
      </c>
      <c r="AD6" s="16">
        <f>IF(R6="","",R6*IFERROR(VLOOKUP($A6&amp;"|Nov",Lists!$J:$L,2,FALSE),0)*IFERROR(VLOOKUP($A6&amp;"|Nov",Lists!$J:$L,3,FALSE),0))</f>
        <v/>
      </c>
      <c r="AE6" s="16">
        <f>IF(S6="","",S6*IFERROR(VLOOKUP($A6&amp;"|Dec",Lists!$J:$L,2,FALSE),0)*IFERROR(VLOOKUP($A6&amp;"|Dec",Lists!$J:$L,3,FALSE),0))</f>
        <v/>
      </c>
    </row>
    <row r="7">
      <c r="A7" s="6" t="inlineStr">
        <is>
          <t>Dev 1</t>
        </is>
      </c>
      <c r="B7" s="6" t="inlineStr">
        <is>
          <t>Project D</t>
        </is>
      </c>
      <c r="C7" s="6" t="inlineStr">
        <is>
          <t>Jul</t>
        </is>
      </c>
      <c r="D7" s="6" t="inlineStr">
        <is>
          <t>Sep</t>
        </is>
      </c>
      <c r="E7" s="6">
        <f>IFERROR(VLOOKUP($B3,Projects!$A$2:$G$50,4,FALSE),"")</f>
        <v/>
      </c>
      <c r="F7" s="6">
        <f>IFERROR(VLOOKUP($B3,Projects!$A$2:$G$50,5,FALSE),"")</f>
        <v/>
      </c>
      <c r="G7" s="9">
        <f>SUM(H7:S7)</f>
        <v/>
      </c>
      <c r="H7" s="9" t="inlineStr"/>
      <c r="I7" s="9" t="inlineStr"/>
      <c r="J7" s="9" t="inlineStr"/>
      <c r="K7" s="9" t="inlineStr"/>
      <c r="L7" s="9" t="inlineStr"/>
      <c r="M7" s="9" t="inlineStr"/>
      <c r="N7" s="9" t="n">
        <v>0.5</v>
      </c>
      <c r="O7" s="9" t="n">
        <v>0.75</v>
      </c>
      <c r="P7" s="9" t="n">
        <v>0.5</v>
      </c>
      <c r="Q7" s="9" t="inlineStr"/>
      <c r="R7" s="9" t="inlineStr"/>
      <c r="S7" s="9" t="inlineStr"/>
      <c r="T7" s="19">
        <f>IF($A7="","",VLOOKUP($A7,DevRateTable,3,FALSE))</f>
        <v/>
      </c>
      <c r="U7" s="16">
        <f>IF(I7="","",I7*IFERROR(VLOOKUP($A7&amp;"|Feb",Lists!$J:$L,2,FALSE),0)*IFERROR(VLOOKUP($A7&amp;"|Feb",Lists!$J:$L,3,FALSE),0))</f>
        <v/>
      </c>
      <c r="V7" s="16">
        <f>IF(J7="","",J7*IFERROR(VLOOKUP($A7&amp;"|Mar",Lists!$J:$L,2,FALSE),0)*IFERROR(VLOOKUP($A7&amp;"|Mar",Lists!$J:$L,3,FALSE),0))</f>
        <v/>
      </c>
      <c r="W7" s="16">
        <f>IF(K7="","",K7*IFERROR(VLOOKUP($A7&amp;"|Apr",Lists!$J:$L,2,FALSE),0)*IFERROR(VLOOKUP($A7&amp;"|Apr",Lists!$J:$L,3,FALSE),0))</f>
        <v/>
      </c>
      <c r="X7" s="16">
        <f>IF(L7="","",L7*IFERROR(VLOOKUP($A7&amp;"|May",Lists!$J:$L,2,FALSE),0)*IFERROR(VLOOKUP($A7&amp;"|May",Lists!$J:$L,3,FALSE),0))</f>
        <v/>
      </c>
      <c r="Y7" s="16">
        <f>IF(M7="","",M7*IFERROR(VLOOKUP($A7&amp;"|Jun",Lists!$J:$L,2,FALSE),0)*IFERROR(VLOOKUP($A7&amp;"|Jun",Lists!$J:$L,3,FALSE),0))</f>
        <v/>
      </c>
      <c r="Z7" s="16">
        <f>IF(N7="","",N7*IFERROR(VLOOKUP($A7&amp;"|Jul",Lists!$J:$L,2,FALSE),0)*IFERROR(VLOOKUP($A7&amp;"|Jul",Lists!$J:$L,3,FALSE),0))</f>
        <v/>
      </c>
      <c r="AA7" s="16">
        <f>IF(O7="","",O7*IFERROR(VLOOKUP($A7&amp;"|Aug",Lists!$J:$L,2,FALSE),0)*IFERROR(VLOOKUP($A7&amp;"|Aug",Lists!$J:$L,3,FALSE),0))</f>
        <v/>
      </c>
      <c r="AB7" s="16">
        <f>IF(P7="","",P7*IFERROR(VLOOKUP($A7&amp;"|Sep",Lists!$J:$L,2,FALSE),0)*IFERROR(VLOOKUP($A7&amp;"|Sep",Lists!$J:$L,3,FALSE),0))</f>
        <v/>
      </c>
      <c r="AC7" s="16">
        <f>IF(Q7="","",Q7*IFERROR(VLOOKUP($A7&amp;"|Oct",Lists!$J:$L,2,FALSE),0)*IFERROR(VLOOKUP($A7&amp;"|Oct",Lists!$J:$L,3,FALSE),0))</f>
        <v/>
      </c>
      <c r="AD7" s="16">
        <f>IF(R7="","",R7*IFERROR(VLOOKUP($A7&amp;"|Nov",Lists!$J:$L,2,FALSE),0)*IFERROR(VLOOKUP($A7&amp;"|Nov",Lists!$J:$L,3,FALSE),0))</f>
        <v/>
      </c>
      <c r="AE7" s="16">
        <f>IF(S7="","",S7*IFERROR(VLOOKUP($A7&amp;"|Dec",Lists!$J:$L,2,FALSE),0)*IFERROR(VLOOKUP($A7&amp;"|Dec",Lists!$J:$L,3,FALSE),0))</f>
        <v/>
      </c>
    </row>
    <row r="8">
      <c r="A8" s="6" t="inlineStr">
        <is>
          <t>Dev 1</t>
        </is>
      </c>
      <c r="B8" s="6" t="inlineStr">
        <is>
          <t>Project F</t>
        </is>
      </c>
      <c r="C8" s="6" t="inlineStr">
        <is>
          <t>Aug</t>
        </is>
      </c>
      <c r="D8" s="6" t="inlineStr">
        <is>
          <t>Nov</t>
        </is>
      </c>
      <c r="E8" s="6">
        <f>IFERROR(VLOOKUP($B3,Projects!$A$2:$G$50,4,FALSE),"")</f>
        <v/>
      </c>
      <c r="F8" s="6">
        <f>IFERROR(VLOOKUP($B3,Projects!$A$2:$G$50,5,FALSE),"")</f>
        <v/>
      </c>
      <c r="G8" s="9">
        <f>SUM(H8:S8)</f>
        <v/>
      </c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n">
        <v>0.5</v>
      </c>
      <c r="P8" s="9" t="n">
        <v>0.5</v>
      </c>
      <c r="Q8" s="9" t="n">
        <v>0.25</v>
      </c>
      <c r="R8" s="9" t="n">
        <v>0.5</v>
      </c>
      <c r="S8" s="9" t="inlineStr"/>
      <c r="T8" s="19">
        <f>IF($A8="","",VLOOKUP($A8,DevRateTable,3,FALSE))</f>
        <v/>
      </c>
      <c r="U8" s="16">
        <f>IF(I8="","",I8*IFERROR(VLOOKUP($A8&amp;"|Feb",Lists!$J:$L,2,FALSE),0)*IFERROR(VLOOKUP($A8&amp;"|Feb",Lists!$J:$L,3,FALSE),0))</f>
        <v/>
      </c>
      <c r="V8" s="16">
        <f>IF(J8="","",J8*IFERROR(VLOOKUP($A8&amp;"|Mar",Lists!$J:$L,2,FALSE),0)*IFERROR(VLOOKUP($A8&amp;"|Mar",Lists!$J:$L,3,FALSE),0))</f>
        <v/>
      </c>
      <c r="W8" s="16">
        <f>IF(K8="","",K8*IFERROR(VLOOKUP($A8&amp;"|Apr",Lists!$J:$L,2,FALSE),0)*IFERROR(VLOOKUP($A8&amp;"|Apr",Lists!$J:$L,3,FALSE),0))</f>
        <v/>
      </c>
      <c r="X8" s="16">
        <f>IF(L8="","",L8*IFERROR(VLOOKUP($A8&amp;"|May",Lists!$J:$L,2,FALSE),0)*IFERROR(VLOOKUP($A8&amp;"|May",Lists!$J:$L,3,FALSE),0))</f>
        <v/>
      </c>
      <c r="Y8" s="16">
        <f>IF(M8="","",M8*IFERROR(VLOOKUP($A8&amp;"|Jun",Lists!$J:$L,2,FALSE),0)*IFERROR(VLOOKUP($A8&amp;"|Jun",Lists!$J:$L,3,FALSE),0))</f>
        <v/>
      </c>
      <c r="Z8" s="16">
        <f>IF(N8="","",N8*IFERROR(VLOOKUP($A8&amp;"|Jul",Lists!$J:$L,2,FALSE),0)*IFERROR(VLOOKUP($A8&amp;"|Jul",Lists!$J:$L,3,FALSE),0))</f>
        <v/>
      </c>
      <c r="AA8" s="16">
        <f>IF(O8="","",O8*IFERROR(VLOOKUP($A8&amp;"|Aug",Lists!$J:$L,2,FALSE),0)*IFERROR(VLOOKUP($A8&amp;"|Aug",Lists!$J:$L,3,FALSE),0))</f>
        <v/>
      </c>
      <c r="AB8" s="16">
        <f>IF(P8="","",P8*IFERROR(VLOOKUP($A8&amp;"|Sep",Lists!$J:$L,2,FALSE),0)*IFERROR(VLOOKUP($A8&amp;"|Sep",Lists!$J:$L,3,FALSE),0))</f>
        <v/>
      </c>
      <c r="AC8" s="16">
        <f>IF(Q8="","",Q8*IFERROR(VLOOKUP($A8&amp;"|Oct",Lists!$J:$L,2,FALSE),0)*IFERROR(VLOOKUP($A8&amp;"|Oct",Lists!$J:$L,3,FALSE),0))</f>
        <v/>
      </c>
      <c r="AD8" s="16">
        <f>IF(R8="","",R8*IFERROR(VLOOKUP($A8&amp;"|Nov",Lists!$J:$L,2,FALSE),0)*IFERROR(VLOOKUP($A8&amp;"|Nov",Lists!$J:$L,3,FALSE),0))</f>
        <v/>
      </c>
      <c r="AE8" s="16">
        <f>IF(S8="","",S8*IFERROR(VLOOKUP($A8&amp;"|Dec",Lists!$J:$L,2,FALSE),0)*IFERROR(VLOOKUP($A8&amp;"|Dec",Lists!$J:$L,3,FALSE),0))</f>
        <v/>
      </c>
    </row>
    <row r="9">
      <c r="A9" s="6" t="inlineStr">
        <is>
          <t>Dev 2</t>
        </is>
      </c>
      <c r="B9" s="6" t="inlineStr">
        <is>
          <t>Project E</t>
        </is>
      </c>
      <c r="C9" s="6" t="inlineStr">
        <is>
          <t>Oct</t>
        </is>
      </c>
      <c r="D9" s="6" t="inlineStr">
        <is>
          <t>Dec</t>
        </is>
      </c>
      <c r="E9" s="6">
        <f>IFERROR(VLOOKUP($B3,Projects!$A$2:$G$50,4,FALSE),"")</f>
        <v/>
      </c>
      <c r="F9" s="6">
        <f>IFERROR(VLOOKUP($B3,Projects!$A$2:$G$50,5,FALSE),"")</f>
        <v/>
      </c>
      <c r="G9" s="9">
        <f>SUM(H9:S9)</f>
        <v/>
      </c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n">
        <v>0.75</v>
      </c>
      <c r="R9" s="9" t="n">
        <v>0.5</v>
      </c>
      <c r="S9" s="9" t="n">
        <v>1</v>
      </c>
      <c r="T9" s="19">
        <f>IF($A9="","",VLOOKUP($A9,DevRateTable,3,FALSE))</f>
        <v/>
      </c>
      <c r="U9" s="16">
        <f>IF(I9="","",I9*IFERROR(VLOOKUP($A9&amp;"|Feb",Lists!$J:$L,2,FALSE),0)*IFERROR(VLOOKUP($A9&amp;"|Feb",Lists!$J:$L,3,FALSE),0))</f>
        <v/>
      </c>
      <c r="V9" s="16">
        <f>IF(J9="","",J9*IFERROR(VLOOKUP($A9&amp;"|Mar",Lists!$J:$L,2,FALSE),0)*IFERROR(VLOOKUP($A9&amp;"|Mar",Lists!$J:$L,3,FALSE),0))</f>
        <v/>
      </c>
      <c r="W9" s="16">
        <f>IF(K9="","",K9*IFERROR(VLOOKUP($A9&amp;"|Apr",Lists!$J:$L,2,FALSE),0)*IFERROR(VLOOKUP($A9&amp;"|Apr",Lists!$J:$L,3,FALSE),0))</f>
        <v/>
      </c>
      <c r="X9" s="16">
        <f>IF(L9="","",L9*IFERROR(VLOOKUP($A9&amp;"|May",Lists!$J:$L,2,FALSE),0)*IFERROR(VLOOKUP($A9&amp;"|May",Lists!$J:$L,3,FALSE),0))</f>
        <v/>
      </c>
      <c r="Y9" s="16">
        <f>IF(M9="","",M9*IFERROR(VLOOKUP($A9&amp;"|Jun",Lists!$J:$L,2,FALSE),0)*IFERROR(VLOOKUP($A9&amp;"|Jun",Lists!$J:$L,3,FALSE),0))</f>
        <v/>
      </c>
      <c r="Z9" s="16">
        <f>IF(N9="","",N9*IFERROR(VLOOKUP($A9&amp;"|Jul",Lists!$J:$L,2,FALSE),0)*IFERROR(VLOOKUP($A9&amp;"|Jul",Lists!$J:$L,3,FALSE),0))</f>
        <v/>
      </c>
      <c r="AA9" s="16">
        <f>IF(O9="","",O9*IFERROR(VLOOKUP($A9&amp;"|Aug",Lists!$J:$L,2,FALSE),0)*IFERROR(VLOOKUP($A9&amp;"|Aug",Lists!$J:$L,3,FALSE),0))</f>
        <v/>
      </c>
      <c r="AB9" s="16">
        <f>IF(P9="","",P9*IFERROR(VLOOKUP($A9&amp;"|Sep",Lists!$J:$L,2,FALSE),0)*IFERROR(VLOOKUP($A9&amp;"|Sep",Lists!$J:$L,3,FALSE),0))</f>
        <v/>
      </c>
      <c r="AC9" s="16">
        <f>IF(Q9="","",Q9*IFERROR(VLOOKUP($A9&amp;"|Oct",Lists!$J:$L,2,FALSE),0)*IFERROR(VLOOKUP($A9&amp;"|Oct",Lists!$J:$L,3,FALSE),0))</f>
        <v/>
      </c>
      <c r="AD9" s="16">
        <f>IF(R9="","",R9*IFERROR(VLOOKUP($A9&amp;"|Nov",Lists!$J:$L,2,FALSE),0)*IFERROR(VLOOKUP($A9&amp;"|Nov",Lists!$J:$L,3,FALSE),0))</f>
        <v/>
      </c>
      <c r="AE9" s="16">
        <f>IF(S9="","",S9*IFERROR(VLOOKUP($A9&amp;"|Dec",Lists!$J:$L,2,FALSE),0)*IFERROR(VLOOKUP($A9&amp;"|Dec",Lists!$J:$L,3,FALSE),0))</f>
        <v/>
      </c>
    </row>
    <row r="10">
      <c r="A10" s="6" t="inlineStr">
        <is>
          <t>Dev 2</t>
        </is>
      </c>
      <c r="B10" s="6" t="inlineStr">
        <is>
          <t>Project F</t>
        </is>
      </c>
      <c r="C10" s="6" t="inlineStr">
        <is>
          <t>Aug</t>
        </is>
      </c>
      <c r="D10" s="6" t="inlineStr">
        <is>
          <t>Nov</t>
        </is>
      </c>
      <c r="E10" s="6">
        <f>IFERROR(VLOOKUP($B3,Projects!$A$2:$G$50,4,FALSE),"")</f>
        <v/>
      </c>
      <c r="F10" s="6">
        <f>IFERROR(VLOOKUP($B3,Projects!$A$2:$G$50,5,FALSE),"")</f>
        <v/>
      </c>
      <c r="G10" s="9">
        <f>SUM(H10:S10)</f>
        <v/>
      </c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n">
        <v>0.25</v>
      </c>
      <c r="P10" s="9" t="n">
        <v>0.25</v>
      </c>
      <c r="Q10" s="9" t="n">
        <v>0.5</v>
      </c>
      <c r="R10" s="9" t="n">
        <v>0.75</v>
      </c>
      <c r="S10" s="9" t="inlineStr"/>
      <c r="T10" s="19">
        <f>IF($A10="","",VLOOKUP($A10,DevRateTable,3,FALSE))</f>
        <v/>
      </c>
      <c r="U10" s="16">
        <f>IF(I10="","",I10*IFERROR(VLOOKUP($A10&amp;"|Feb",Lists!$J:$L,2,FALSE),0)*IFERROR(VLOOKUP($A10&amp;"|Feb",Lists!$J:$L,3,FALSE),0))</f>
        <v/>
      </c>
      <c r="V10" s="16">
        <f>IF(J10="","",J10*IFERROR(VLOOKUP($A10&amp;"|Mar",Lists!$J:$L,2,FALSE),0)*IFERROR(VLOOKUP($A10&amp;"|Mar",Lists!$J:$L,3,FALSE),0))</f>
        <v/>
      </c>
      <c r="W10" s="16">
        <f>IF(K10="","",K10*IFERROR(VLOOKUP($A10&amp;"|Apr",Lists!$J:$L,2,FALSE),0)*IFERROR(VLOOKUP($A10&amp;"|Apr",Lists!$J:$L,3,FALSE),0))</f>
        <v/>
      </c>
      <c r="X10" s="16">
        <f>IF(L10="","",L10*IFERROR(VLOOKUP($A10&amp;"|May",Lists!$J:$L,2,FALSE),0)*IFERROR(VLOOKUP($A10&amp;"|May",Lists!$J:$L,3,FALSE),0))</f>
        <v/>
      </c>
      <c r="Y10" s="16">
        <f>IF(M10="","",M10*IFERROR(VLOOKUP($A10&amp;"|Jun",Lists!$J:$L,2,FALSE),0)*IFERROR(VLOOKUP($A10&amp;"|Jun",Lists!$J:$L,3,FALSE),0))</f>
        <v/>
      </c>
      <c r="Z10" s="16">
        <f>IF(N10="","",N10*IFERROR(VLOOKUP($A10&amp;"|Jul",Lists!$J:$L,2,FALSE),0)*IFERROR(VLOOKUP($A10&amp;"|Jul",Lists!$J:$L,3,FALSE),0))</f>
        <v/>
      </c>
      <c r="AA10" s="16">
        <f>IF(O10="","",O10*IFERROR(VLOOKUP($A10&amp;"|Aug",Lists!$J:$L,2,FALSE),0)*IFERROR(VLOOKUP($A10&amp;"|Aug",Lists!$J:$L,3,FALSE),0))</f>
        <v/>
      </c>
      <c r="AB10" s="16">
        <f>IF(P10="","",P10*IFERROR(VLOOKUP($A10&amp;"|Sep",Lists!$J:$L,2,FALSE),0)*IFERROR(VLOOKUP($A10&amp;"|Sep",Lists!$J:$L,3,FALSE),0))</f>
        <v/>
      </c>
      <c r="AC10" s="16">
        <f>IF(Q10="","",Q10*IFERROR(VLOOKUP($A10&amp;"|Oct",Lists!$J:$L,2,FALSE),0)*IFERROR(VLOOKUP($A10&amp;"|Oct",Lists!$J:$L,3,FALSE),0))</f>
        <v/>
      </c>
      <c r="AD10" s="16">
        <f>IF(R10="","",R10*IFERROR(VLOOKUP($A10&amp;"|Nov",Lists!$J:$L,2,FALSE),0)*IFERROR(VLOOKUP($A10&amp;"|Nov",Lists!$J:$L,3,FALSE),0))</f>
        <v/>
      </c>
      <c r="AE10" s="16">
        <f>IF(S10="","",S10*IFERROR(VLOOKUP($A10&amp;"|Dec",Lists!$J:$L,2,FALSE),0)*IFERROR(VLOOKUP($A10&amp;"|Dec",Lists!$J:$L,3,FALSE),0))</f>
        <v/>
      </c>
    </row>
    <row r="11">
      <c r="A11" s="6" t="n"/>
      <c r="B11" s="6" t="n"/>
      <c r="C11" s="6">
        <f>IFERROR(VLOOKUP($B11,Projects!$A$2:$G$50,2,FALSE),"")</f>
        <v/>
      </c>
      <c r="D11" s="6">
        <f>IFERROR(VLOOKUP($B11,Projects!$A$2:$G$50,3,FALSE),"")</f>
        <v/>
      </c>
      <c r="E11" s="6">
        <f>IFERROR(VLOOKUP($B11,Projects!$A$2:$G$50,4,FALSE),"")</f>
        <v/>
      </c>
      <c r="F11" s="6">
        <f>IFERROR(VLOOKUP($B11,Projects!$A$2:$G$50,5,FALSE),"")</f>
        <v/>
      </c>
      <c r="G11" s="9">
        <f>SUM(H11:S11)</f>
        <v/>
      </c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19">
        <f>IF($A11="","",VLOOKUP($A11,DevRateTable,3,FALSE))</f>
        <v/>
      </c>
      <c r="U11" s="16">
        <f>IF(I11="","",I11*IFERROR(VLOOKUP($A11&amp;"|Feb",Lists!$J:$L,2,FALSE),0)*IFERROR(VLOOKUP($A11&amp;"|Feb",Lists!$J:$L,3,FALSE),0))</f>
        <v/>
      </c>
      <c r="V11" s="16">
        <f>IF(J11="","",J11*IFERROR(VLOOKUP($A11&amp;"|Mar",Lists!$J:$L,2,FALSE),0)*IFERROR(VLOOKUP($A11&amp;"|Mar",Lists!$J:$L,3,FALSE),0))</f>
        <v/>
      </c>
      <c r="W11" s="16">
        <f>IF(K11="","",K11*IFERROR(VLOOKUP($A11&amp;"|Apr",Lists!$J:$L,2,FALSE),0)*IFERROR(VLOOKUP($A11&amp;"|Apr",Lists!$J:$L,3,FALSE),0))</f>
        <v/>
      </c>
      <c r="X11" s="16">
        <f>IF(L11="","",L11*IFERROR(VLOOKUP($A11&amp;"|May",Lists!$J:$L,2,FALSE),0)*IFERROR(VLOOKUP($A11&amp;"|May",Lists!$J:$L,3,FALSE),0))</f>
        <v/>
      </c>
      <c r="Y11" s="16">
        <f>IF(M11="","",M11*IFERROR(VLOOKUP($A11&amp;"|Jun",Lists!$J:$L,2,FALSE),0)*IFERROR(VLOOKUP($A11&amp;"|Jun",Lists!$J:$L,3,FALSE),0))</f>
        <v/>
      </c>
      <c r="Z11" s="16">
        <f>IF(N11="","",N11*IFERROR(VLOOKUP($A11&amp;"|Jul",Lists!$J:$L,2,FALSE),0)*IFERROR(VLOOKUP($A11&amp;"|Jul",Lists!$J:$L,3,FALSE),0))</f>
        <v/>
      </c>
      <c r="AA11" s="16">
        <f>IF(O11="","",O11*IFERROR(VLOOKUP($A11&amp;"|Aug",Lists!$J:$L,2,FALSE),0)*IFERROR(VLOOKUP($A11&amp;"|Aug",Lists!$J:$L,3,FALSE),0))</f>
        <v/>
      </c>
      <c r="AB11" s="16">
        <f>IF(P11="","",P11*IFERROR(VLOOKUP($A11&amp;"|Sep",Lists!$J:$L,2,FALSE),0)*IFERROR(VLOOKUP($A11&amp;"|Sep",Lists!$J:$L,3,FALSE),0))</f>
        <v/>
      </c>
      <c r="AC11" s="16">
        <f>IF(Q11="","",Q11*IFERROR(VLOOKUP($A11&amp;"|Oct",Lists!$J:$L,2,FALSE),0)*IFERROR(VLOOKUP($A11&amp;"|Oct",Lists!$J:$L,3,FALSE),0))</f>
        <v/>
      </c>
      <c r="AD11" s="16">
        <f>IF(R11="","",R11*IFERROR(VLOOKUP($A11&amp;"|Nov",Lists!$J:$L,2,FALSE),0)*IFERROR(VLOOKUP($A11&amp;"|Nov",Lists!$J:$L,3,FALSE),0))</f>
        <v/>
      </c>
      <c r="AE11" s="16">
        <f>IF(S11="","",S11*IFERROR(VLOOKUP($A11&amp;"|Dec",Lists!$J:$L,2,FALSE),0)*IFERROR(VLOOKUP($A11&amp;"|Dec",Lists!$J:$L,3,FALSE),0))</f>
        <v/>
      </c>
    </row>
    <row r="12">
      <c r="A12" s="6" t="n"/>
      <c r="B12" s="6" t="n"/>
      <c r="C12" s="6">
        <f>IFERROR(VLOOKUP($B12,Projects!$A$2:$G$50,2,FALSE),"")</f>
        <v/>
      </c>
      <c r="D12" s="6">
        <f>IFERROR(VLOOKUP($B12,Projects!$A$2:$G$50,3,FALSE),"")</f>
        <v/>
      </c>
      <c r="E12" s="6">
        <f>IFERROR(VLOOKUP($B12,Projects!$A$2:$G$50,4,FALSE),"")</f>
        <v/>
      </c>
      <c r="F12" s="6">
        <f>IFERROR(VLOOKUP($B12,Projects!$A$2:$G$50,5,FALSE),"")</f>
        <v/>
      </c>
      <c r="G12" s="9">
        <f>SUM(H12:S12)</f>
        <v/>
      </c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19">
        <f>IF($A12="","",VLOOKUP($A12,DevRateTable,3,FALSE))</f>
        <v/>
      </c>
      <c r="U12" s="16">
        <f>IF(I12="","",I12*IFERROR(VLOOKUP($A12&amp;"|Feb",Lists!$J:$L,2,FALSE),0)*IFERROR(VLOOKUP($A12&amp;"|Feb",Lists!$J:$L,3,FALSE),0))</f>
        <v/>
      </c>
      <c r="V12" s="16">
        <f>IF(J12="","",J12*IFERROR(VLOOKUP($A12&amp;"|Mar",Lists!$J:$L,2,FALSE),0)*IFERROR(VLOOKUP($A12&amp;"|Mar",Lists!$J:$L,3,FALSE),0))</f>
        <v/>
      </c>
      <c r="W12" s="16">
        <f>IF(K12="","",K12*IFERROR(VLOOKUP($A12&amp;"|Apr",Lists!$J:$L,2,FALSE),0)*IFERROR(VLOOKUP($A12&amp;"|Apr",Lists!$J:$L,3,FALSE),0))</f>
        <v/>
      </c>
      <c r="X12" s="16">
        <f>IF(L12="","",L12*IFERROR(VLOOKUP($A12&amp;"|May",Lists!$J:$L,2,FALSE),0)*IFERROR(VLOOKUP($A12&amp;"|May",Lists!$J:$L,3,FALSE),0))</f>
        <v/>
      </c>
      <c r="Y12" s="16">
        <f>IF(M12="","",M12*IFERROR(VLOOKUP($A12&amp;"|Jun",Lists!$J:$L,2,FALSE),0)*IFERROR(VLOOKUP($A12&amp;"|Jun",Lists!$J:$L,3,FALSE),0))</f>
        <v/>
      </c>
      <c r="Z12" s="16">
        <f>IF(N12="","",N12*IFERROR(VLOOKUP($A12&amp;"|Jul",Lists!$J:$L,2,FALSE),0)*IFERROR(VLOOKUP($A12&amp;"|Jul",Lists!$J:$L,3,FALSE),0))</f>
        <v/>
      </c>
      <c r="AA12" s="16">
        <f>IF(O12="","",O12*IFERROR(VLOOKUP($A12&amp;"|Aug",Lists!$J:$L,2,FALSE),0)*IFERROR(VLOOKUP($A12&amp;"|Aug",Lists!$J:$L,3,FALSE),0))</f>
        <v/>
      </c>
      <c r="AB12" s="16">
        <f>IF(P12="","",P12*IFERROR(VLOOKUP($A12&amp;"|Sep",Lists!$J:$L,2,FALSE),0)*IFERROR(VLOOKUP($A12&amp;"|Sep",Lists!$J:$L,3,FALSE),0))</f>
        <v/>
      </c>
      <c r="AC12" s="16">
        <f>IF(Q12="","",Q12*IFERROR(VLOOKUP($A12&amp;"|Oct",Lists!$J:$L,2,FALSE),0)*IFERROR(VLOOKUP($A12&amp;"|Oct",Lists!$J:$L,3,FALSE),0))</f>
        <v/>
      </c>
      <c r="AD12" s="16">
        <f>IF(R12="","",R12*IFERROR(VLOOKUP($A12&amp;"|Nov",Lists!$J:$L,2,FALSE),0)*IFERROR(VLOOKUP($A12&amp;"|Nov",Lists!$J:$L,3,FALSE),0))</f>
        <v/>
      </c>
      <c r="AE12" s="16">
        <f>IF(S12="","",S12*IFERROR(VLOOKUP($A12&amp;"|Dec",Lists!$J:$L,2,FALSE),0)*IFERROR(VLOOKUP($A12&amp;"|Dec",Lists!$J:$L,3,FALSE),0))</f>
        <v/>
      </c>
    </row>
    <row r="13">
      <c r="A13" s="6" t="n"/>
      <c r="B13" s="6" t="n"/>
      <c r="C13" s="6">
        <f>IFERROR(VLOOKUP($B13,Projects!$A$2:$G$50,2,FALSE),"")</f>
        <v/>
      </c>
      <c r="D13" s="6">
        <f>IFERROR(VLOOKUP($B13,Projects!$A$2:$G$50,3,FALSE),"")</f>
        <v/>
      </c>
      <c r="E13" s="6">
        <f>IFERROR(VLOOKUP($B13,Projects!$A$2:$G$50,4,FALSE),"")</f>
        <v/>
      </c>
      <c r="F13" s="6">
        <f>IFERROR(VLOOKUP($B13,Projects!$A$2:$G$50,5,FALSE),"")</f>
        <v/>
      </c>
      <c r="G13" s="9">
        <f>SUM(H13:S13)</f>
        <v/>
      </c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19">
        <f>IF($A13="","",VLOOKUP($A13,DevRateTable,3,FALSE))</f>
        <v/>
      </c>
      <c r="U13" s="16">
        <f>IF(I13="","",I13*IFERROR(VLOOKUP($A13&amp;"|Feb",Lists!$J:$L,2,FALSE),0)*IFERROR(VLOOKUP($A13&amp;"|Feb",Lists!$J:$L,3,FALSE),0))</f>
        <v/>
      </c>
      <c r="V13" s="16">
        <f>IF(J13="","",J13*IFERROR(VLOOKUP($A13&amp;"|Mar",Lists!$J:$L,2,FALSE),0)*IFERROR(VLOOKUP($A13&amp;"|Mar",Lists!$J:$L,3,FALSE),0))</f>
        <v/>
      </c>
      <c r="W13" s="16">
        <f>IF(K13="","",K13*IFERROR(VLOOKUP($A13&amp;"|Apr",Lists!$J:$L,2,FALSE),0)*IFERROR(VLOOKUP($A13&amp;"|Apr",Lists!$J:$L,3,FALSE),0))</f>
        <v/>
      </c>
      <c r="X13" s="16">
        <f>IF(L13="","",L13*IFERROR(VLOOKUP($A13&amp;"|May",Lists!$J:$L,2,FALSE),0)*IFERROR(VLOOKUP($A13&amp;"|May",Lists!$J:$L,3,FALSE),0))</f>
        <v/>
      </c>
      <c r="Y13" s="16">
        <f>IF(M13="","",M13*IFERROR(VLOOKUP($A13&amp;"|Jun",Lists!$J:$L,2,FALSE),0)*IFERROR(VLOOKUP($A13&amp;"|Jun",Lists!$J:$L,3,FALSE),0))</f>
        <v/>
      </c>
      <c r="Z13" s="16">
        <f>IF(N13="","",N13*IFERROR(VLOOKUP($A13&amp;"|Jul",Lists!$J:$L,2,FALSE),0)*IFERROR(VLOOKUP($A13&amp;"|Jul",Lists!$J:$L,3,FALSE),0))</f>
        <v/>
      </c>
      <c r="AA13" s="16">
        <f>IF(O13="","",O13*IFERROR(VLOOKUP($A13&amp;"|Aug",Lists!$J:$L,2,FALSE),0)*IFERROR(VLOOKUP($A13&amp;"|Aug",Lists!$J:$L,3,FALSE),0))</f>
        <v/>
      </c>
      <c r="AB13" s="16">
        <f>IF(P13="","",P13*IFERROR(VLOOKUP($A13&amp;"|Sep",Lists!$J:$L,2,FALSE),0)*IFERROR(VLOOKUP($A13&amp;"|Sep",Lists!$J:$L,3,FALSE),0))</f>
        <v/>
      </c>
      <c r="AC13" s="16">
        <f>IF(Q13="","",Q13*IFERROR(VLOOKUP($A13&amp;"|Oct",Lists!$J:$L,2,FALSE),0)*IFERROR(VLOOKUP($A13&amp;"|Oct",Lists!$J:$L,3,FALSE),0))</f>
        <v/>
      </c>
      <c r="AD13" s="16">
        <f>IF(R13="","",R13*IFERROR(VLOOKUP($A13&amp;"|Nov",Lists!$J:$L,2,FALSE),0)*IFERROR(VLOOKUP($A13&amp;"|Nov",Lists!$J:$L,3,FALSE),0))</f>
        <v/>
      </c>
      <c r="AE13" s="16">
        <f>IF(S13="","",S13*IFERROR(VLOOKUP($A13&amp;"|Dec",Lists!$J:$L,2,FALSE),0)*IFERROR(VLOOKUP($A13&amp;"|Dec",Lists!$J:$L,3,FALSE),0))</f>
        <v/>
      </c>
    </row>
    <row r="14">
      <c r="A14" s="6" t="n"/>
      <c r="B14" s="6" t="n"/>
      <c r="C14" s="6">
        <f>IFERROR(VLOOKUP($B14,Projects!$A$2:$G$50,2,FALSE),"")</f>
        <v/>
      </c>
      <c r="D14" s="6">
        <f>IFERROR(VLOOKUP($B14,Projects!$A$2:$G$50,3,FALSE),"")</f>
        <v/>
      </c>
      <c r="E14" s="6">
        <f>IFERROR(VLOOKUP($B14,Projects!$A$2:$G$50,4,FALSE),"")</f>
        <v/>
      </c>
      <c r="F14" s="6">
        <f>IFERROR(VLOOKUP($B14,Projects!$A$2:$G$50,5,FALSE),"")</f>
        <v/>
      </c>
      <c r="G14" s="9">
        <f>SUM(H14:S14)</f>
        <v/>
      </c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19">
        <f>IF($A14="","",VLOOKUP($A14,DevRateTable,3,FALSE))</f>
        <v/>
      </c>
      <c r="U14" s="16">
        <f>IF(I14="","",I14*IFERROR(VLOOKUP($A14&amp;"|Feb",Lists!$J:$L,2,FALSE),0)*IFERROR(VLOOKUP($A14&amp;"|Feb",Lists!$J:$L,3,FALSE),0))</f>
        <v/>
      </c>
      <c r="V14" s="16">
        <f>IF(J14="","",J14*IFERROR(VLOOKUP($A14&amp;"|Mar",Lists!$J:$L,2,FALSE),0)*IFERROR(VLOOKUP($A14&amp;"|Mar",Lists!$J:$L,3,FALSE),0))</f>
        <v/>
      </c>
      <c r="W14" s="16">
        <f>IF(K14="","",K14*IFERROR(VLOOKUP($A14&amp;"|Apr",Lists!$J:$L,2,FALSE),0)*IFERROR(VLOOKUP($A14&amp;"|Apr",Lists!$J:$L,3,FALSE),0))</f>
        <v/>
      </c>
      <c r="X14" s="16">
        <f>IF(L14="","",L14*IFERROR(VLOOKUP($A14&amp;"|May",Lists!$J:$L,2,FALSE),0)*IFERROR(VLOOKUP($A14&amp;"|May",Lists!$J:$L,3,FALSE),0))</f>
        <v/>
      </c>
      <c r="Y14" s="16">
        <f>IF(M14="","",M14*IFERROR(VLOOKUP($A14&amp;"|Jun",Lists!$J:$L,2,FALSE),0)*IFERROR(VLOOKUP($A14&amp;"|Jun",Lists!$J:$L,3,FALSE),0))</f>
        <v/>
      </c>
      <c r="Z14" s="16">
        <f>IF(N14="","",N14*IFERROR(VLOOKUP($A14&amp;"|Jul",Lists!$J:$L,2,FALSE),0)*IFERROR(VLOOKUP($A14&amp;"|Jul",Lists!$J:$L,3,FALSE),0))</f>
        <v/>
      </c>
      <c r="AA14" s="16">
        <f>IF(O14="","",O14*IFERROR(VLOOKUP($A14&amp;"|Aug",Lists!$J:$L,2,FALSE),0)*IFERROR(VLOOKUP($A14&amp;"|Aug",Lists!$J:$L,3,FALSE),0))</f>
        <v/>
      </c>
      <c r="AB14" s="16">
        <f>IF(P14="","",P14*IFERROR(VLOOKUP($A14&amp;"|Sep",Lists!$J:$L,2,FALSE),0)*IFERROR(VLOOKUP($A14&amp;"|Sep",Lists!$J:$L,3,FALSE),0))</f>
        <v/>
      </c>
      <c r="AC14" s="16">
        <f>IF(Q14="","",Q14*IFERROR(VLOOKUP($A14&amp;"|Oct",Lists!$J:$L,2,FALSE),0)*IFERROR(VLOOKUP($A14&amp;"|Oct",Lists!$J:$L,3,FALSE),0))</f>
        <v/>
      </c>
      <c r="AD14" s="16">
        <f>IF(R14="","",R14*IFERROR(VLOOKUP($A14&amp;"|Nov",Lists!$J:$L,2,FALSE),0)*IFERROR(VLOOKUP($A14&amp;"|Nov",Lists!$J:$L,3,FALSE),0))</f>
        <v/>
      </c>
      <c r="AE14" s="16">
        <f>IF(S14="","",S14*IFERROR(VLOOKUP($A14&amp;"|Dec",Lists!$J:$L,2,FALSE),0)*IFERROR(VLOOKUP($A14&amp;"|Dec",Lists!$J:$L,3,FALSE),0))</f>
        <v/>
      </c>
    </row>
    <row r="15">
      <c r="A15" s="6" t="n"/>
      <c r="B15" s="6" t="n"/>
      <c r="C15" s="6">
        <f>IFERROR(VLOOKUP($B15,Projects!$A$2:$G$50,2,FALSE),"")</f>
        <v/>
      </c>
      <c r="D15" s="6">
        <f>IFERROR(VLOOKUP($B15,Projects!$A$2:$G$50,3,FALSE),"")</f>
        <v/>
      </c>
      <c r="E15" s="6">
        <f>IFERROR(VLOOKUP($B15,Projects!$A$2:$G$50,4,FALSE),"")</f>
        <v/>
      </c>
      <c r="F15" s="6">
        <f>IFERROR(VLOOKUP($B15,Projects!$A$2:$G$50,5,FALSE),"")</f>
        <v/>
      </c>
      <c r="G15" s="9">
        <f>SUM(H15:S15)</f>
        <v/>
      </c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19">
        <f>IF($A15="","",VLOOKUP($A15,DevRateTable,3,FALSE))</f>
        <v/>
      </c>
      <c r="U15" s="16">
        <f>IF(I15="","",I15*IFERROR(VLOOKUP($A15&amp;"|Feb",Lists!$J:$L,2,FALSE),0)*IFERROR(VLOOKUP($A15&amp;"|Feb",Lists!$J:$L,3,FALSE),0))</f>
        <v/>
      </c>
      <c r="V15" s="16">
        <f>IF(J15="","",J15*IFERROR(VLOOKUP($A15&amp;"|Mar",Lists!$J:$L,2,FALSE),0)*IFERROR(VLOOKUP($A15&amp;"|Mar",Lists!$J:$L,3,FALSE),0))</f>
        <v/>
      </c>
      <c r="W15" s="16">
        <f>IF(K15="","",K15*IFERROR(VLOOKUP($A15&amp;"|Apr",Lists!$J:$L,2,FALSE),0)*IFERROR(VLOOKUP($A15&amp;"|Apr",Lists!$J:$L,3,FALSE),0))</f>
        <v/>
      </c>
      <c r="X15" s="16">
        <f>IF(L15="","",L15*IFERROR(VLOOKUP($A15&amp;"|May",Lists!$J:$L,2,FALSE),0)*IFERROR(VLOOKUP($A15&amp;"|May",Lists!$J:$L,3,FALSE),0))</f>
        <v/>
      </c>
      <c r="Y15" s="16">
        <f>IF(M15="","",M15*IFERROR(VLOOKUP($A15&amp;"|Jun",Lists!$J:$L,2,FALSE),0)*IFERROR(VLOOKUP($A15&amp;"|Jun",Lists!$J:$L,3,FALSE),0))</f>
        <v/>
      </c>
      <c r="Z15" s="16">
        <f>IF(N15="","",N15*IFERROR(VLOOKUP($A15&amp;"|Jul",Lists!$J:$L,2,FALSE),0)*IFERROR(VLOOKUP($A15&amp;"|Jul",Lists!$J:$L,3,FALSE),0))</f>
        <v/>
      </c>
      <c r="AA15" s="16">
        <f>IF(O15="","",O15*IFERROR(VLOOKUP($A15&amp;"|Aug",Lists!$J:$L,2,FALSE),0)*IFERROR(VLOOKUP($A15&amp;"|Aug",Lists!$J:$L,3,FALSE),0))</f>
        <v/>
      </c>
      <c r="AB15" s="16">
        <f>IF(P15="","",P15*IFERROR(VLOOKUP($A15&amp;"|Sep",Lists!$J:$L,2,FALSE),0)*IFERROR(VLOOKUP($A15&amp;"|Sep",Lists!$J:$L,3,FALSE),0))</f>
        <v/>
      </c>
      <c r="AC15" s="16">
        <f>IF(Q15="","",Q15*IFERROR(VLOOKUP($A15&amp;"|Oct",Lists!$J:$L,2,FALSE),0)*IFERROR(VLOOKUP($A15&amp;"|Oct",Lists!$J:$L,3,FALSE),0))</f>
        <v/>
      </c>
      <c r="AD15" s="16">
        <f>IF(R15="","",R15*IFERROR(VLOOKUP($A15&amp;"|Nov",Lists!$J:$L,2,FALSE),0)*IFERROR(VLOOKUP($A15&amp;"|Nov",Lists!$J:$L,3,FALSE),0))</f>
        <v/>
      </c>
      <c r="AE15" s="16">
        <f>IF(S15="","",S15*IFERROR(VLOOKUP($A15&amp;"|Dec",Lists!$J:$L,2,FALSE),0)*IFERROR(VLOOKUP($A15&amp;"|Dec",Lists!$J:$L,3,FALSE),0))</f>
        <v/>
      </c>
    </row>
    <row r="16">
      <c r="A16" s="6" t="n"/>
      <c r="B16" s="6" t="n"/>
      <c r="C16" s="6">
        <f>IFERROR(VLOOKUP($B16,Projects!$A$2:$G$50,2,FALSE),"")</f>
        <v/>
      </c>
      <c r="D16" s="6">
        <f>IFERROR(VLOOKUP($B16,Projects!$A$2:$G$50,3,FALSE),"")</f>
        <v/>
      </c>
      <c r="E16" s="6">
        <f>IFERROR(VLOOKUP($B16,Projects!$A$2:$G$50,4,FALSE),"")</f>
        <v/>
      </c>
      <c r="F16" s="6">
        <f>IFERROR(VLOOKUP($B16,Projects!$A$2:$G$50,5,FALSE),"")</f>
        <v/>
      </c>
      <c r="G16" s="9">
        <f>SUM(H16:S16)</f>
        <v/>
      </c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19">
        <f>IF($A16="","",VLOOKUP($A16,DevRateTable,3,FALSE))</f>
        <v/>
      </c>
      <c r="U16" s="16">
        <f>IF(I16="","",I16*IFERROR(VLOOKUP($A16&amp;"|Feb",Lists!$J:$L,2,FALSE),0)*IFERROR(VLOOKUP($A16&amp;"|Feb",Lists!$J:$L,3,FALSE),0))</f>
        <v/>
      </c>
      <c r="V16" s="16">
        <f>IF(J16="","",J16*IFERROR(VLOOKUP($A16&amp;"|Mar",Lists!$J:$L,2,FALSE),0)*IFERROR(VLOOKUP($A16&amp;"|Mar",Lists!$J:$L,3,FALSE),0))</f>
        <v/>
      </c>
      <c r="W16" s="16">
        <f>IF(K16="","",K16*IFERROR(VLOOKUP($A16&amp;"|Apr",Lists!$J:$L,2,FALSE),0)*IFERROR(VLOOKUP($A16&amp;"|Apr",Lists!$J:$L,3,FALSE),0))</f>
        <v/>
      </c>
      <c r="X16" s="16">
        <f>IF(L16="","",L16*IFERROR(VLOOKUP($A16&amp;"|May",Lists!$J:$L,2,FALSE),0)*IFERROR(VLOOKUP($A16&amp;"|May",Lists!$J:$L,3,FALSE),0))</f>
        <v/>
      </c>
      <c r="Y16" s="16">
        <f>IF(M16="","",M16*IFERROR(VLOOKUP($A16&amp;"|Jun",Lists!$J:$L,2,FALSE),0)*IFERROR(VLOOKUP($A16&amp;"|Jun",Lists!$J:$L,3,FALSE),0))</f>
        <v/>
      </c>
      <c r="Z16" s="16">
        <f>IF(N16="","",N16*IFERROR(VLOOKUP($A16&amp;"|Jul",Lists!$J:$L,2,FALSE),0)*IFERROR(VLOOKUP($A16&amp;"|Jul",Lists!$J:$L,3,FALSE),0))</f>
        <v/>
      </c>
      <c r="AA16" s="16">
        <f>IF(O16="","",O16*IFERROR(VLOOKUP($A16&amp;"|Aug",Lists!$J:$L,2,FALSE),0)*IFERROR(VLOOKUP($A16&amp;"|Aug",Lists!$J:$L,3,FALSE),0))</f>
        <v/>
      </c>
      <c r="AB16" s="16">
        <f>IF(P16="","",P16*IFERROR(VLOOKUP($A16&amp;"|Sep",Lists!$J:$L,2,FALSE),0)*IFERROR(VLOOKUP($A16&amp;"|Sep",Lists!$J:$L,3,FALSE),0))</f>
        <v/>
      </c>
      <c r="AC16" s="16">
        <f>IF(Q16="","",Q16*IFERROR(VLOOKUP($A16&amp;"|Oct",Lists!$J:$L,2,FALSE),0)*IFERROR(VLOOKUP($A16&amp;"|Oct",Lists!$J:$L,3,FALSE),0))</f>
        <v/>
      </c>
      <c r="AD16" s="16">
        <f>IF(R16="","",R16*IFERROR(VLOOKUP($A16&amp;"|Nov",Lists!$J:$L,2,FALSE),0)*IFERROR(VLOOKUP($A16&amp;"|Nov",Lists!$J:$L,3,FALSE),0))</f>
        <v/>
      </c>
      <c r="AE16" s="16">
        <f>IF(S16="","",S16*IFERROR(VLOOKUP($A16&amp;"|Dec",Lists!$J:$L,2,FALSE),0)*IFERROR(VLOOKUP($A16&amp;"|Dec",Lists!$J:$L,3,FALSE),0))</f>
        <v/>
      </c>
    </row>
    <row r="17">
      <c r="A17" s="6" t="n"/>
      <c r="B17" s="6" t="n"/>
      <c r="C17" s="6">
        <f>IFERROR(VLOOKUP($B17,Projects!$A$2:$G$50,2,FALSE),"")</f>
        <v/>
      </c>
      <c r="D17" s="6">
        <f>IFERROR(VLOOKUP($B17,Projects!$A$2:$G$50,3,FALSE),"")</f>
        <v/>
      </c>
      <c r="E17" s="6">
        <f>IFERROR(VLOOKUP($B17,Projects!$A$2:$G$50,4,FALSE),"")</f>
        <v/>
      </c>
      <c r="F17" s="6">
        <f>IFERROR(VLOOKUP($B17,Projects!$A$2:$G$50,5,FALSE),"")</f>
        <v/>
      </c>
      <c r="G17" s="9">
        <f>SUM(H17:S17)</f>
        <v/>
      </c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19">
        <f>IF($A17="","",VLOOKUP($A17,DevRateTable,3,FALSE))</f>
        <v/>
      </c>
      <c r="U17" s="16">
        <f>IF(I17="","",I17*IFERROR(VLOOKUP($A17&amp;"|Feb",Lists!$J:$L,2,FALSE),0)*IFERROR(VLOOKUP($A17&amp;"|Feb",Lists!$J:$L,3,FALSE),0))</f>
        <v/>
      </c>
      <c r="V17" s="16">
        <f>IF(J17="","",J17*IFERROR(VLOOKUP($A17&amp;"|Mar",Lists!$J:$L,2,FALSE),0)*IFERROR(VLOOKUP($A17&amp;"|Mar",Lists!$J:$L,3,FALSE),0))</f>
        <v/>
      </c>
      <c r="W17" s="16">
        <f>IF(K17="","",K17*IFERROR(VLOOKUP($A17&amp;"|Apr",Lists!$J:$L,2,FALSE),0)*IFERROR(VLOOKUP($A17&amp;"|Apr",Lists!$J:$L,3,FALSE),0))</f>
        <v/>
      </c>
      <c r="X17" s="16">
        <f>IF(L17="","",L17*IFERROR(VLOOKUP($A17&amp;"|May",Lists!$J:$L,2,FALSE),0)*IFERROR(VLOOKUP($A17&amp;"|May",Lists!$J:$L,3,FALSE),0))</f>
        <v/>
      </c>
      <c r="Y17" s="16">
        <f>IF(M17="","",M17*IFERROR(VLOOKUP($A17&amp;"|Jun",Lists!$J:$L,2,FALSE),0)*IFERROR(VLOOKUP($A17&amp;"|Jun",Lists!$J:$L,3,FALSE),0))</f>
        <v/>
      </c>
      <c r="Z17" s="16">
        <f>IF(N17="","",N17*IFERROR(VLOOKUP($A17&amp;"|Jul",Lists!$J:$L,2,FALSE),0)*IFERROR(VLOOKUP($A17&amp;"|Jul",Lists!$J:$L,3,FALSE),0))</f>
        <v/>
      </c>
      <c r="AA17" s="16">
        <f>IF(O17="","",O17*IFERROR(VLOOKUP($A17&amp;"|Aug",Lists!$J:$L,2,FALSE),0)*IFERROR(VLOOKUP($A17&amp;"|Aug",Lists!$J:$L,3,FALSE),0))</f>
        <v/>
      </c>
      <c r="AB17" s="16">
        <f>IF(P17="","",P17*IFERROR(VLOOKUP($A17&amp;"|Sep",Lists!$J:$L,2,FALSE),0)*IFERROR(VLOOKUP($A17&amp;"|Sep",Lists!$J:$L,3,FALSE),0))</f>
        <v/>
      </c>
      <c r="AC17" s="16">
        <f>IF(Q17="","",Q17*IFERROR(VLOOKUP($A17&amp;"|Oct",Lists!$J:$L,2,FALSE),0)*IFERROR(VLOOKUP($A17&amp;"|Oct",Lists!$J:$L,3,FALSE),0))</f>
        <v/>
      </c>
      <c r="AD17" s="16">
        <f>IF(R17="","",R17*IFERROR(VLOOKUP($A17&amp;"|Nov",Lists!$J:$L,2,FALSE),0)*IFERROR(VLOOKUP($A17&amp;"|Nov",Lists!$J:$L,3,FALSE),0))</f>
        <v/>
      </c>
      <c r="AE17" s="16">
        <f>IF(S17="","",S17*IFERROR(VLOOKUP($A17&amp;"|Dec",Lists!$J:$L,2,FALSE),0)*IFERROR(VLOOKUP($A17&amp;"|Dec",Lists!$J:$L,3,FALSE),0))</f>
        <v/>
      </c>
    </row>
    <row r="18">
      <c r="A18" s="6" t="n"/>
      <c r="B18" s="6" t="n"/>
      <c r="C18" s="6">
        <f>IFERROR(VLOOKUP($B18,Projects!$A$2:$G$50,2,FALSE),"")</f>
        <v/>
      </c>
      <c r="D18" s="6">
        <f>IFERROR(VLOOKUP($B18,Projects!$A$2:$G$50,3,FALSE),"")</f>
        <v/>
      </c>
      <c r="E18" s="6">
        <f>IFERROR(VLOOKUP($B18,Projects!$A$2:$G$50,4,FALSE),"")</f>
        <v/>
      </c>
      <c r="F18" s="6">
        <f>IFERROR(VLOOKUP($B18,Projects!$A$2:$G$50,5,FALSE),"")</f>
        <v/>
      </c>
      <c r="G18" s="9">
        <f>SUM(H18:S18)</f>
        <v/>
      </c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19">
        <f>IF($A18="","",VLOOKUP($A18,DevRateTable,3,FALSE))</f>
        <v/>
      </c>
      <c r="U18" s="16">
        <f>IF(I18="","",I18*IFERROR(VLOOKUP($A18&amp;"|Feb",Lists!$J:$L,2,FALSE),0)*IFERROR(VLOOKUP($A18&amp;"|Feb",Lists!$J:$L,3,FALSE),0))</f>
        <v/>
      </c>
      <c r="V18" s="16">
        <f>IF(J18="","",J18*IFERROR(VLOOKUP($A18&amp;"|Mar",Lists!$J:$L,2,FALSE),0)*IFERROR(VLOOKUP($A18&amp;"|Mar",Lists!$J:$L,3,FALSE),0))</f>
        <v/>
      </c>
      <c r="W18" s="16">
        <f>IF(K18="","",K18*IFERROR(VLOOKUP($A18&amp;"|Apr",Lists!$J:$L,2,FALSE),0)*IFERROR(VLOOKUP($A18&amp;"|Apr",Lists!$J:$L,3,FALSE),0))</f>
        <v/>
      </c>
      <c r="X18" s="16">
        <f>IF(L18="","",L18*IFERROR(VLOOKUP($A18&amp;"|May",Lists!$J:$L,2,FALSE),0)*IFERROR(VLOOKUP($A18&amp;"|May",Lists!$J:$L,3,FALSE),0))</f>
        <v/>
      </c>
      <c r="Y18" s="16">
        <f>IF(M18="","",M18*IFERROR(VLOOKUP($A18&amp;"|Jun",Lists!$J:$L,2,FALSE),0)*IFERROR(VLOOKUP($A18&amp;"|Jun",Lists!$J:$L,3,FALSE),0))</f>
        <v/>
      </c>
      <c r="Z18" s="16">
        <f>IF(N18="","",N18*IFERROR(VLOOKUP($A18&amp;"|Jul",Lists!$J:$L,2,FALSE),0)*IFERROR(VLOOKUP($A18&amp;"|Jul",Lists!$J:$L,3,FALSE),0))</f>
        <v/>
      </c>
      <c r="AA18" s="16">
        <f>IF(O18="","",O18*IFERROR(VLOOKUP($A18&amp;"|Aug",Lists!$J:$L,2,FALSE),0)*IFERROR(VLOOKUP($A18&amp;"|Aug",Lists!$J:$L,3,FALSE),0))</f>
        <v/>
      </c>
      <c r="AB18" s="16">
        <f>IF(P18="","",P18*IFERROR(VLOOKUP($A18&amp;"|Sep",Lists!$J:$L,2,FALSE),0)*IFERROR(VLOOKUP($A18&amp;"|Sep",Lists!$J:$L,3,FALSE),0))</f>
        <v/>
      </c>
      <c r="AC18" s="16">
        <f>IF(Q18="","",Q18*IFERROR(VLOOKUP($A18&amp;"|Oct",Lists!$J:$L,2,FALSE),0)*IFERROR(VLOOKUP($A18&amp;"|Oct",Lists!$J:$L,3,FALSE),0))</f>
        <v/>
      </c>
      <c r="AD18" s="16">
        <f>IF(R18="","",R18*IFERROR(VLOOKUP($A18&amp;"|Nov",Lists!$J:$L,2,FALSE),0)*IFERROR(VLOOKUP($A18&amp;"|Nov",Lists!$J:$L,3,FALSE),0))</f>
        <v/>
      </c>
      <c r="AE18" s="16">
        <f>IF(S18="","",S18*IFERROR(VLOOKUP($A18&amp;"|Dec",Lists!$J:$L,2,FALSE),0)*IFERROR(VLOOKUP($A18&amp;"|Dec",Lists!$J:$L,3,FALSE),0))</f>
        <v/>
      </c>
    </row>
    <row r="19">
      <c r="A19" s="6" t="n"/>
      <c r="B19" s="6" t="n"/>
      <c r="C19" s="6">
        <f>IFERROR(VLOOKUP($B19,Projects!$A$2:$G$50,2,FALSE),"")</f>
        <v/>
      </c>
      <c r="D19" s="6">
        <f>IFERROR(VLOOKUP($B19,Projects!$A$2:$G$50,3,FALSE),"")</f>
        <v/>
      </c>
      <c r="E19" s="6">
        <f>IFERROR(VLOOKUP($B19,Projects!$A$2:$G$50,4,FALSE),"")</f>
        <v/>
      </c>
      <c r="F19" s="6">
        <f>IFERROR(VLOOKUP($B19,Projects!$A$2:$G$50,5,FALSE),"")</f>
        <v/>
      </c>
      <c r="G19" s="9">
        <f>SUM(H19:S19)</f>
        <v/>
      </c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19">
        <f>IF($A19="","",VLOOKUP($A19,DevRateTable,3,FALSE))</f>
        <v/>
      </c>
      <c r="U19" s="16">
        <f>IF(I19="","",I19*IFERROR(VLOOKUP($A19&amp;"|Feb",Lists!$J:$L,2,FALSE),0)*IFERROR(VLOOKUP($A19&amp;"|Feb",Lists!$J:$L,3,FALSE),0))</f>
        <v/>
      </c>
      <c r="V19" s="16">
        <f>IF(J19="","",J19*IFERROR(VLOOKUP($A19&amp;"|Mar",Lists!$J:$L,2,FALSE),0)*IFERROR(VLOOKUP($A19&amp;"|Mar",Lists!$J:$L,3,FALSE),0))</f>
        <v/>
      </c>
      <c r="W19" s="16">
        <f>IF(K19="","",K19*IFERROR(VLOOKUP($A19&amp;"|Apr",Lists!$J:$L,2,FALSE),0)*IFERROR(VLOOKUP($A19&amp;"|Apr",Lists!$J:$L,3,FALSE),0))</f>
        <v/>
      </c>
      <c r="X19" s="16">
        <f>IF(L19="","",L19*IFERROR(VLOOKUP($A19&amp;"|May",Lists!$J:$L,2,FALSE),0)*IFERROR(VLOOKUP($A19&amp;"|May",Lists!$J:$L,3,FALSE),0))</f>
        <v/>
      </c>
      <c r="Y19" s="16">
        <f>IF(M19="","",M19*IFERROR(VLOOKUP($A19&amp;"|Jun",Lists!$J:$L,2,FALSE),0)*IFERROR(VLOOKUP($A19&amp;"|Jun",Lists!$J:$L,3,FALSE),0))</f>
        <v/>
      </c>
      <c r="Z19" s="16">
        <f>IF(N19="","",N19*IFERROR(VLOOKUP($A19&amp;"|Jul",Lists!$J:$L,2,FALSE),0)*IFERROR(VLOOKUP($A19&amp;"|Jul",Lists!$J:$L,3,FALSE),0))</f>
        <v/>
      </c>
      <c r="AA19" s="16">
        <f>IF(O19="","",O19*IFERROR(VLOOKUP($A19&amp;"|Aug",Lists!$J:$L,2,FALSE),0)*IFERROR(VLOOKUP($A19&amp;"|Aug",Lists!$J:$L,3,FALSE),0))</f>
        <v/>
      </c>
      <c r="AB19" s="16">
        <f>IF(P19="","",P19*IFERROR(VLOOKUP($A19&amp;"|Sep",Lists!$J:$L,2,FALSE),0)*IFERROR(VLOOKUP($A19&amp;"|Sep",Lists!$J:$L,3,FALSE),0))</f>
        <v/>
      </c>
      <c r="AC19" s="16">
        <f>IF(Q19="","",Q19*IFERROR(VLOOKUP($A19&amp;"|Oct",Lists!$J:$L,2,FALSE),0)*IFERROR(VLOOKUP($A19&amp;"|Oct",Lists!$J:$L,3,FALSE),0))</f>
        <v/>
      </c>
      <c r="AD19" s="16">
        <f>IF(R19="","",R19*IFERROR(VLOOKUP($A19&amp;"|Nov",Lists!$J:$L,2,FALSE),0)*IFERROR(VLOOKUP($A19&amp;"|Nov",Lists!$J:$L,3,FALSE),0))</f>
        <v/>
      </c>
      <c r="AE19" s="16">
        <f>IF(S19="","",S19*IFERROR(VLOOKUP($A19&amp;"|Dec",Lists!$J:$L,2,FALSE),0)*IFERROR(VLOOKUP($A19&amp;"|Dec",Lists!$J:$L,3,FALSE),0))</f>
        <v/>
      </c>
    </row>
    <row r="20">
      <c r="A20" s="6" t="n"/>
      <c r="B20" s="6" t="n"/>
      <c r="C20" s="6">
        <f>IFERROR(VLOOKUP($B20,Projects!$A$2:$G$50,2,FALSE),"")</f>
        <v/>
      </c>
      <c r="D20" s="6">
        <f>IFERROR(VLOOKUP($B20,Projects!$A$2:$G$50,3,FALSE),"")</f>
        <v/>
      </c>
      <c r="E20" s="6">
        <f>IFERROR(VLOOKUP($B20,Projects!$A$2:$G$50,4,FALSE),"")</f>
        <v/>
      </c>
      <c r="F20" s="6">
        <f>IFERROR(VLOOKUP($B20,Projects!$A$2:$G$50,5,FALSE),"")</f>
        <v/>
      </c>
      <c r="G20" s="9">
        <f>SUM(H20:S20)</f>
        <v/>
      </c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19">
        <f>IF($A20="","",VLOOKUP($A20,DevRateTable,3,FALSE))</f>
        <v/>
      </c>
      <c r="U20" s="16">
        <f>IF(I20="","",I20*IFERROR(VLOOKUP($A20&amp;"|Feb",Lists!$J:$L,2,FALSE),0)*IFERROR(VLOOKUP($A20&amp;"|Feb",Lists!$J:$L,3,FALSE),0))</f>
        <v/>
      </c>
      <c r="V20" s="16">
        <f>IF(J20="","",J20*IFERROR(VLOOKUP($A20&amp;"|Mar",Lists!$J:$L,2,FALSE),0)*IFERROR(VLOOKUP($A20&amp;"|Mar",Lists!$J:$L,3,FALSE),0))</f>
        <v/>
      </c>
      <c r="W20" s="16">
        <f>IF(K20="","",K20*IFERROR(VLOOKUP($A20&amp;"|Apr",Lists!$J:$L,2,FALSE),0)*IFERROR(VLOOKUP($A20&amp;"|Apr",Lists!$J:$L,3,FALSE),0))</f>
        <v/>
      </c>
      <c r="X20" s="16">
        <f>IF(L20="","",L20*IFERROR(VLOOKUP($A20&amp;"|May",Lists!$J:$L,2,FALSE),0)*IFERROR(VLOOKUP($A20&amp;"|May",Lists!$J:$L,3,FALSE),0))</f>
        <v/>
      </c>
      <c r="Y20" s="16">
        <f>IF(M20="","",M20*IFERROR(VLOOKUP($A20&amp;"|Jun",Lists!$J:$L,2,FALSE),0)*IFERROR(VLOOKUP($A20&amp;"|Jun",Lists!$J:$L,3,FALSE),0))</f>
        <v/>
      </c>
      <c r="Z20" s="16">
        <f>IF(N20="","",N20*IFERROR(VLOOKUP($A20&amp;"|Jul",Lists!$J:$L,2,FALSE),0)*IFERROR(VLOOKUP($A20&amp;"|Jul",Lists!$J:$L,3,FALSE),0))</f>
        <v/>
      </c>
      <c r="AA20" s="16">
        <f>IF(O20="","",O20*IFERROR(VLOOKUP($A20&amp;"|Aug",Lists!$J:$L,2,FALSE),0)*IFERROR(VLOOKUP($A20&amp;"|Aug",Lists!$J:$L,3,FALSE),0))</f>
        <v/>
      </c>
      <c r="AB20" s="16">
        <f>IF(P20="","",P20*IFERROR(VLOOKUP($A20&amp;"|Sep",Lists!$J:$L,2,FALSE),0)*IFERROR(VLOOKUP($A20&amp;"|Sep",Lists!$J:$L,3,FALSE),0))</f>
        <v/>
      </c>
      <c r="AC20" s="16">
        <f>IF(Q20="","",Q20*IFERROR(VLOOKUP($A20&amp;"|Oct",Lists!$J:$L,2,FALSE),0)*IFERROR(VLOOKUP($A20&amp;"|Oct",Lists!$J:$L,3,FALSE),0))</f>
        <v/>
      </c>
      <c r="AD20" s="16">
        <f>IF(R20="","",R20*IFERROR(VLOOKUP($A20&amp;"|Nov",Lists!$J:$L,2,FALSE),0)*IFERROR(VLOOKUP($A20&amp;"|Nov",Lists!$J:$L,3,FALSE),0))</f>
        <v/>
      </c>
      <c r="AE20" s="16">
        <f>IF(S20="","",S20*IFERROR(VLOOKUP($A20&amp;"|Dec",Lists!$J:$L,2,FALSE),0)*IFERROR(VLOOKUP($A20&amp;"|Dec",Lists!$J:$L,3,FALSE),0))</f>
        <v/>
      </c>
    </row>
    <row r="21">
      <c r="A21" s="6" t="n"/>
      <c r="B21" s="6" t="n"/>
      <c r="C21" s="6">
        <f>IFERROR(VLOOKUP($B21,Projects!$A$2:$G$50,2,FALSE),"")</f>
        <v/>
      </c>
      <c r="D21" s="6">
        <f>IFERROR(VLOOKUP($B21,Projects!$A$2:$G$50,3,FALSE),"")</f>
        <v/>
      </c>
      <c r="E21" s="6">
        <f>IFERROR(VLOOKUP($B21,Projects!$A$2:$G$50,4,FALSE),"")</f>
        <v/>
      </c>
      <c r="F21" s="6">
        <f>IFERROR(VLOOKUP($B21,Projects!$A$2:$G$50,5,FALSE),"")</f>
        <v/>
      </c>
      <c r="G21" s="9">
        <f>SUM(H21:S21)</f>
        <v/>
      </c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19">
        <f>IF($A21="","",VLOOKUP($A21,DevRateTable,3,FALSE))</f>
        <v/>
      </c>
      <c r="U21" s="16">
        <f>IF(I21="","",I21*IFERROR(VLOOKUP($A21&amp;"|Feb",Lists!$J:$L,2,FALSE),0)*IFERROR(VLOOKUP($A21&amp;"|Feb",Lists!$J:$L,3,FALSE),0))</f>
        <v/>
      </c>
      <c r="V21" s="16">
        <f>IF(J21="","",J21*IFERROR(VLOOKUP($A21&amp;"|Mar",Lists!$J:$L,2,FALSE),0)*IFERROR(VLOOKUP($A21&amp;"|Mar",Lists!$J:$L,3,FALSE),0))</f>
        <v/>
      </c>
      <c r="W21" s="16">
        <f>IF(K21="","",K21*IFERROR(VLOOKUP($A21&amp;"|Apr",Lists!$J:$L,2,FALSE),0)*IFERROR(VLOOKUP($A21&amp;"|Apr",Lists!$J:$L,3,FALSE),0))</f>
        <v/>
      </c>
      <c r="X21" s="16">
        <f>IF(L21="","",L21*IFERROR(VLOOKUP($A21&amp;"|May",Lists!$J:$L,2,FALSE),0)*IFERROR(VLOOKUP($A21&amp;"|May",Lists!$J:$L,3,FALSE),0))</f>
        <v/>
      </c>
      <c r="Y21" s="16">
        <f>IF(M21="","",M21*IFERROR(VLOOKUP($A21&amp;"|Jun",Lists!$J:$L,2,FALSE),0)*IFERROR(VLOOKUP($A21&amp;"|Jun",Lists!$J:$L,3,FALSE),0))</f>
        <v/>
      </c>
      <c r="Z21" s="16">
        <f>IF(N21="","",N21*IFERROR(VLOOKUP($A21&amp;"|Jul",Lists!$J:$L,2,FALSE),0)*IFERROR(VLOOKUP($A21&amp;"|Jul",Lists!$J:$L,3,FALSE),0))</f>
        <v/>
      </c>
      <c r="AA21" s="16">
        <f>IF(O21="","",O21*IFERROR(VLOOKUP($A21&amp;"|Aug",Lists!$J:$L,2,FALSE),0)*IFERROR(VLOOKUP($A21&amp;"|Aug",Lists!$J:$L,3,FALSE),0))</f>
        <v/>
      </c>
      <c r="AB21" s="16">
        <f>IF(P21="","",P21*IFERROR(VLOOKUP($A21&amp;"|Sep",Lists!$J:$L,2,FALSE),0)*IFERROR(VLOOKUP($A21&amp;"|Sep",Lists!$J:$L,3,FALSE),0))</f>
        <v/>
      </c>
      <c r="AC21" s="16">
        <f>IF(Q21="","",Q21*IFERROR(VLOOKUP($A21&amp;"|Oct",Lists!$J:$L,2,FALSE),0)*IFERROR(VLOOKUP($A21&amp;"|Oct",Lists!$J:$L,3,FALSE),0))</f>
        <v/>
      </c>
      <c r="AD21" s="16">
        <f>IF(R21="","",R21*IFERROR(VLOOKUP($A21&amp;"|Nov",Lists!$J:$L,2,FALSE),0)*IFERROR(VLOOKUP($A21&amp;"|Nov",Lists!$J:$L,3,FALSE),0))</f>
        <v/>
      </c>
      <c r="AE21" s="16">
        <f>IF(S21="","",S21*IFERROR(VLOOKUP($A21&amp;"|Dec",Lists!$J:$L,2,FALSE),0)*IFERROR(VLOOKUP($A21&amp;"|Dec",Lists!$J:$L,3,FALSE),0))</f>
        <v/>
      </c>
    </row>
    <row r="22">
      <c r="A22" s="6" t="n"/>
      <c r="B22" s="6" t="n"/>
      <c r="C22" s="6">
        <f>IFERROR(VLOOKUP($B22,Projects!$A$2:$G$50,2,FALSE),"")</f>
        <v/>
      </c>
      <c r="D22" s="6">
        <f>IFERROR(VLOOKUP($B22,Projects!$A$2:$G$50,3,FALSE),"")</f>
        <v/>
      </c>
      <c r="E22" s="6">
        <f>IFERROR(VLOOKUP($B22,Projects!$A$2:$G$50,4,FALSE),"")</f>
        <v/>
      </c>
      <c r="F22" s="6">
        <f>IFERROR(VLOOKUP($B22,Projects!$A$2:$G$50,5,FALSE),"")</f>
        <v/>
      </c>
      <c r="G22" s="9">
        <f>SUM(H22:S22)</f>
        <v/>
      </c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19">
        <f>IF($A22="","",VLOOKUP($A22,DevRateTable,3,FALSE))</f>
        <v/>
      </c>
      <c r="U22" s="16">
        <f>IF(I22="","",I22*IFERROR(VLOOKUP($A22&amp;"|Feb",Lists!$J:$L,2,FALSE),0)*IFERROR(VLOOKUP($A22&amp;"|Feb",Lists!$J:$L,3,FALSE),0))</f>
        <v/>
      </c>
      <c r="V22" s="16">
        <f>IF(J22="","",J22*IFERROR(VLOOKUP($A22&amp;"|Mar",Lists!$J:$L,2,FALSE),0)*IFERROR(VLOOKUP($A22&amp;"|Mar",Lists!$J:$L,3,FALSE),0))</f>
        <v/>
      </c>
      <c r="W22" s="16">
        <f>IF(K22="","",K22*IFERROR(VLOOKUP($A22&amp;"|Apr",Lists!$J:$L,2,FALSE),0)*IFERROR(VLOOKUP($A22&amp;"|Apr",Lists!$J:$L,3,FALSE),0))</f>
        <v/>
      </c>
      <c r="X22" s="16">
        <f>IF(L22="","",L22*IFERROR(VLOOKUP($A22&amp;"|May",Lists!$J:$L,2,FALSE),0)*IFERROR(VLOOKUP($A22&amp;"|May",Lists!$J:$L,3,FALSE),0))</f>
        <v/>
      </c>
      <c r="Y22" s="16">
        <f>IF(M22="","",M22*IFERROR(VLOOKUP($A22&amp;"|Jun",Lists!$J:$L,2,FALSE),0)*IFERROR(VLOOKUP($A22&amp;"|Jun",Lists!$J:$L,3,FALSE),0))</f>
        <v/>
      </c>
      <c r="Z22" s="16">
        <f>IF(N22="","",N22*IFERROR(VLOOKUP($A22&amp;"|Jul",Lists!$J:$L,2,FALSE),0)*IFERROR(VLOOKUP($A22&amp;"|Jul",Lists!$J:$L,3,FALSE),0))</f>
        <v/>
      </c>
      <c r="AA22" s="16">
        <f>IF(O22="","",O22*IFERROR(VLOOKUP($A22&amp;"|Aug",Lists!$J:$L,2,FALSE),0)*IFERROR(VLOOKUP($A22&amp;"|Aug",Lists!$J:$L,3,FALSE),0))</f>
        <v/>
      </c>
      <c r="AB22" s="16">
        <f>IF(P22="","",P22*IFERROR(VLOOKUP($A22&amp;"|Sep",Lists!$J:$L,2,FALSE),0)*IFERROR(VLOOKUP($A22&amp;"|Sep",Lists!$J:$L,3,FALSE),0))</f>
        <v/>
      </c>
      <c r="AC22" s="16">
        <f>IF(Q22="","",Q22*IFERROR(VLOOKUP($A22&amp;"|Oct",Lists!$J:$L,2,FALSE),0)*IFERROR(VLOOKUP($A22&amp;"|Oct",Lists!$J:$L,3,FALSE),0))</f>
        <v/>
      </c>
      <c r="AD22" s="16">
        <f>IF(R22="","",R22*IFERROR(VLOOKUP($A22&amp;"|Nov",Lists!$J:$L,2,FALSE),0)*IFERROR(VLOOKUP($A22&amp;"|Nov",Lists!$J:$L,3,FALSE),0))</f>
        <v/>
      </c>
      <c r="AE22" s="16">
        <f>IF(S22="","",S22*IFERROR(VLOOKUP($A22&amp;"|Dec",Lists!$J:$L,2,FALSE),0)*IFERROR(VLOOKUP($A22&amp;"|Dec",Lists!$J:$L,3,FALSE),0))</f>
        <v/>
      </c>
    </row>
    <row r="23">
      <c r="A23" s="6" t="n"/>
      <c r="B23" s="6" t="n"/>
      <c r="C23" s="6">
        <f>IFERROR(VLOOKUP($B23,Projects!$A$2:$G$50,2,FALSE),"")</f>
        <v/>
      </c>
      <c r="D23" s="6">
        <f>IFERROR(VLOOKUP($B23,Projects!$A$2:$G$50,3,FALSE),"")</f>
        <v/>
      </c>
      <c r="E23" s="6">
        <f>IFERROR(VLOOKUP($B23,Projects!$A$2:$G$50,4,FALSE),"")</f>
        <v/>
      </c>
      <c r="F23" s="6">
        <f>IFERROR(VLOOKUP($B23,Projects!$A$2:$G$50,5,FALSE),"")</f>
        <v/>
      </c>
      <c r="G23" s="9">
        <f>SUM(H23:S23)</f>
        <v/>
      </c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19">
        <f>IF($A23="","",VLOOKUP($A23,DevRateTable,3,FALSE))</f>
        <v/>
      </c>
      <c r="U23" s="16">
        <f>IF(I23="","",I23*IFERROR(VLOOKUP($A23&amp;"|Feb",Lists!$J:$L,2,FALSE),0)*IFERROR(VLOOKUP($A23&amp;"|Feb",Lists!$J:$L,3,FALSE),0))</f>
        <v/>
      </c>
      <c r="V23" s="16">
        <f>IF(J23="","",J23*IFERROR(VLOOKUP($A23&amp;"|Mar",Lists!$J:$L,2,FALSE),0)*IFERROR(VLOOKUP($A23&amp;"|Mar",Lists!$J:$L,3,FALSE),0))</f>
        <v/>
      </c>
      <c r="W23" s="16">
        <f>IF(K23="","",K23*IFERROR(VLOOKUP($A23&amp;"|Apr",Lists!$J:$L,2,FALSE),0)*IFERROR(VLOOKUP($A23&amp;"|Apr",Lists!$J:$L,3,FALSE),0))</f>
        <v/>
      </c>
      <c r="X23" s="16">
        <f>IF(L23="","",L23*IFERROR(VLOOKUP($A23&amp;"|May",Lists!$J:$L,2,FALSE),0)*IFERROR(VLOOKUP($A23&amp;"|May",Lists!$J:$L,3,FALSE),0))</f>
        <v/>
      </c>
      <c r="Y23" s="16">
        <f>IF(M23="","",M23*IFERROR(VLOOKUP($A23&amp;"|Jun",Lists!$J:$L,2,FALSE),0)*IFERROR(VLOOKUP($A23&amp;"|Jun",Lists!$J:$L,3,FALSE),0))</f>
        <v/>
      </c>
      <c r="Z23" s="16">
        <f>IF(N23="","",N23*IFERROR(VLOOKUP($A23&amp;"|Jul",Lists!$J:$L,2,FALSE),0)*IFERROR(VLOOKUP($A23&amp;"|Jul",Lists!$J:$L,3,FALSE),0))</f>
        <v/>
      </c>
      <c r="AA23" s="16">
        <f>IF(O23="","",O23*IFERROR(VLOOKUP($A23&amp;"|Aug",Lists!$J:$L,2,FALSE),0)*IFERROR(VLOOKUP($A23&amp;"|Aug",Lists!$J:$L,3,FALSE),0))</f>
        <v/>
      </c>
      <c r="AB23" s="16">
        <f>IF(P23="","",P23*IFERROR(VLOOKUP($A23&amp;"|Sep",Lists!$J:$L,2,FALSE),0)*IFERROR(VLOOKUP($A23&amp;"|Sep",Lists!$J:$L,3,FALSE),0))</f>
        <v/>
      </c>
      <c r="AC23" s="16">
        <f>IF(Q23="","",Q23*IFERROR(VLOOKUP($A23&amp;"|Oct",Lists!$J:$L,2,FALSE),0)*IFERROR(VLOOKUP($A23&amp;"|Oct",Lists!$J:$L,3,FALSE),0))</f>
        <v/>
      </c>
      <c r="AD23" s="16">
        <f>IF(R23="","",R23*IFERROR(VLOOKUP($A23&amp;"|Nov",Lists!$J:$L,2,FALSE),0)*IFERROR(VLOOKUP($A23&amp;"|Nov",Lists!$J:$L,3,FALSE),0))</f>
        <v/>
      </c>
      <c r="AE23" s="16">
        <f>IF(S23="","",S23*IFERROR(VLOOKUP($A23&amp;"|Dec",Lists!$J:$L,2,FALSE),0)*IFERROR(VLOOKUP($A23&amp;"|Dec",Lists!$J:$L,3,FALSE),0))</f>
        <v/>
      </c>
    </row>
    <row r="24">
      <c r="A24" s="6" t="n"/>
      <c r="B24" s="6" t="n"/>
      <c r="C24" s="6">
        <f>IFERROR(VLOOKUP($B24,Projects!$A$2:$G$50,2,FALSE),"")</f>
        <v/>
      </c>
      <c r="D24" s="6">
        <f>IFERROR(VLOOKUP($B24,Projects!$A$2:$G$50,3,FALSE),"")</f>
        <v/>
      </c>
      <c r="E24" s="6">
        <f>IFERROR(VLOOKUP($B24,Projects!$A$2:$G$50,4,FALSE),"")</f>
        <v/>
      </c>
      <c r="F24" s="6">
        <f>IFERROR(VLOOKUP($B24,Projects!$A$2:$G$50,5,FALSE),"")</f>
        <v/>
      </c>
      <c r="G24" s="9">
        <f>SUM(H24:S24)</f>
        <v/>
      </c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19">
        <f>IF($A24="","",VLOOKUP($A24,DevRateTable,3,FALSE))</f>
        <v/>
      </c>
      <c r="U24" s="16">
        <f>IF(I24="","",I24*IFERROR(VLOOKUP($A24&amp;"|Feb",Lists!$J:$L,2,FALSE),0)*IFERROR(VLOOKUP($A24&amp;"|Feb",Lists!$J:$L,3,FALSE),0))</f>
        <v/>
      </c>
      <c r="V24" s="16">
        <f>IF(J24="","",J24*IFERROR(VLOOKUP($A24&amp;"|Mar",Lists!$J:$L,2,FALSE),0)*IFERROR(VLOOKUP($A24&amp;"|Mar",Lists!$J:$L,3,FALSE),0))</f>
        <v/>
      </c>
      <c r="W24" s="16">
        <f>IF(K24="","",K24*IFERROR(VLOOKUP($A24&amp;"|Apr",Lists!$J:$L,2,FALSE),0)*IFERROR(VLOOKUP($A24&amp;"|Apr",Lists!$J:$L,3,FALSE),0))</f>
        <v/>
      </c>
      <c r="X24" s="16">
        <f>IF(L24="","",L24*IFERROR(VLOOKUP($A24&amp;"|May",Lists!$J:$L,2,FALSE),0)*IFERROR(VLOOKUP($A24&amp;"|May",Lists!$J:$L,3,FALSE),0))</f>
        <v/>
      </c>
      <c r="Y24" s="16">
        <f>IF(M24="","",M24*IFERROR(VLOOKUP($A24&amp;"|Jun",Lists!$J:$L,2,FALSE),0)*IFERROR(VLOOKUP($A24&amp;"|Jun",Lists!$J:$L,3,FALSE),0))</f>
        <v/>
      </c>
      <c r="Z24" s="16">
        <f>IF(N24="","",N24*IFERROR(VLOOKUP($A24&amp;"|Jul",Lists!$J:$L,2,FALSE),0)*IFERROR(VLOOKUP($A24&amp;"|Jul",Lists!$J:$L,3,FALSE),0))</f>
        <v/>
      </c>
      <c r="AA24" s="16">
        <f>IF(O24="","",O24*IFERROR(VLOOKUP($A24&amp;"|Aug",Lists!$J:$L,2,FALSE),0)*IFERROR(VLOOKUP($A24&amp;"|Aug",Lists!$J:$L,3,FALSE),0))</f>
        <v/>
      </c>
      <c r="AB24" s="16">
        <f>IF(P24="","",P24*IFERROR(VLOOKUP($A24&amp;"|Sep",Lists!$J:$L,2,FALSE),0)*IFERROR(VLOOKUP($A24&amp;"|Sep",Lists!$J:$L,3,FALSE),0))</f>
        <v/>
      </c>
      <c r="AC24" s="16">
        <f>IF(Q24="","",Q24*IFERROR(VLOOKUP($A24&amp;"|Oct",Lists!$J:$L,2,FALSE),0)*IFERROR(VLOOKUP($A24&amp;"|Oct",Lists!$J:$L,3,FALSE),0))</f>
        <v/>
      </c>
      <c r="AD24" s="16">
        <f>IF(R24="","",R24*IFERROR(VLOOKUP($A24&amp;"|Nov",Lists!$J:$L,2,FALSE),0)*IFERROR(VLOOKUP($A24&amp;"|Nov",Lists!$J:$L,3,FALSE),0))</f>
        <v/>
      </c>
      <c r="AE24" s="16">
        <f>IF(S24="","",S24*IFERROR(VLOOKUP($A24&amp;"|Dec",Lists!$J:$L,2,FALSE),0)*IFERROR(VLOOKUP($A24&amp;"|Dec",Lists!$J:$L,3,FALSE),0))</f>
        <v/>
      </c>
    </row>
    <row r="25">
      <c r="A25" s="6" t="n"/>
      <c r="B25" s="6" t="n"/>
      <c r="C25" s="6">
        <f>IFERROR(VLOOKUP($B25,Projects!$A$2:$G$50,2,FALSE),"")</f>
        <v/>
      </c>
      <c r="D25" s="6">
        <f>IFERROR(VLOOKUP($B25,Projects!$A$2:$G$50,3,FALSE),"")</f>
        <v/>
      </c>
      <c r="E25" s="6">
        <f>IFERROR(VLOOKUP($B25,Projects!$A$2:$G$50,4,FALSE),"")</f>
        <v/>
      </c>
      <c r="F25" s="6">
        <f>IFERROR(VLOOKUP($B25,Projects!$A$2:$G$50,5,FALSE),"")</f>
        <v/>
      </c>
      <c r="G25" s="9">
        <f>SUM(H25:S25)</f>
        <v/>
      </c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19">
        <f>IF($A25="","",VLOOKUP($A25,DevRateTable,3,FALSE))</f>
        <v/>
      </c>
      <c r="U25" s="16">
        <f>IF(I25="","",I25*IFERROR(VLOOKUP($A25&amp;"|Feb",Lists!$J:$L,2,FALSE),0)*IFERROR(VLOOKUP($A25&amp;"|Feb",Lists!$J:$L,3,FALSE),0))</f>
        <v/>
      </c>
      <c r="V25" s="16">
        <f>IF(J25="","",J25*IFERROR(VLOOKUP($A25&amp;"|Mar",Lists!$J:$L,2,FALSE),0)*IFERROR(VLOOKUP($A25&amp;"|Mar",Lists!$J:$L,3,FALSE),0))</f>
        <v/>
      </c>
      <c r="W25" s="16">
        <f>IF(K25="","",K25*IFERROR(VLOOKUP($A25&amp;"|Apr",Lists!$J:$L,2,FALSE),0)*IFERROR(VLOOKUP($A25&amp;"|Apr",Lists!$J:$L,3,FALSE),0))</f>
        <v/>
      </c>
      <c r="X25" s="16">
        <f>IF(L25="","",L25*IFERROR(VLOOKUP($A25&amp;"|May",Lists!$J:$L,2,FALSE),0)*IFERROR(VLOOKUP($A25&amp;"|May",Lists!$J:$L,3,FALSE),0))</f>
        <v/>
      </c>
      <c r="Y25" s="16">
        <f>IF(M25="","",M25*IFERROR(VLOOKUP($A25&amp;"|Jun",Lists!$J:$L,2,FALSE),0)*IFERROR(VLOOKUP($A25&amp;"|Jun",Lists!$J:$L,3,FALSE),0))</f>
        <v/>
      </c>
      <c r="Z25" s="16">
        <f>IF(N25="","",N25*IFERROR(VLOOKUP($A25&amp;"|Jul",Lists!$J:$L,2,FALSE),0)*IFERROR(VLOOKUP($A25&amp;"|Jul",Lists!$J:$L,3,FALSE),0))</f>
        <v/>
      </c>
      <c r="AA25" s="16">
        <f>IF(O25="","",O25*IFERROR(VLOOKUP($A25&amp;"|Aug",Lists!$J:$L,2,FALSE),0)*IFERROR(VLOOKUP($A25&amp;"|Aug",Lists!$J:$L,3,FALSE),0))</f>
        <v/>
      </c>
      <c r="AB25" s="16">
        <f>IF(P25="","",P25*IFERROR(VLOOKUP($A25&amp;"|Sep",Lists!$J:$L,2,FALSE),0)*IFERROR(VLOOKUP($A25&amp;"|Sep",Lists!$J:$L,3,FALSE),0))</f>
        <v/>
      </c>
      <c r="AC25" s="16">
        <f>IF(Q25="","",Q25*IFERROR(VLOOKUP($A25&amp;"|Oct",Lists!$J:$L,2,FALSE),0)*IFERROR(VLOOKUP($A25&amp;"|Oct",Lists!$J:$L,3,FALSE),0))</f>
        <v/>
      </c>
      <c r="AD25" s="16">
        <f>IF(R25="","",R25*IFERROR(VLOOKUP($A25&amp;"|Nov",Lists!$J:$L,2,FALSE),0)*IFERROR(VLOOKUP($A25&amp;"|Nov",Lists!$J:$L,3,FALSE),0))</f>
        <v/>
      </c>
      <c r="AE25" s="16">
        <f>IF(S25="","",S25*IFERROR(VLOOKUP($A25&amp;"|Dec",Lists!$J:$L,2,FALSE),0)*IFERROR(VLOOKUP($A25&amp;"|Dec",Lists!$J:$L,3,FALSE),0))</f>
        <v/>
      </c>
    </row>
    <row r="26">
      <c r="A26" s="6" t="n"/>
      <c r="B26" s="6" t="n"/>
      <c r="C26" s="6">
        <f>IFERROR(VLOOKUP($B26,Projects!$A$2:$G$50,2,FALSE),"")</f>
        <v/>
      </c>
      <c r="D26" s="6">
        <f>IFERROR(VLOOKUP($B26,Projects!$A$2:$G$50,3,FALSE),"")</f>
        <v/>
      </c>
      <c r="E26" s="6">
        <f>IFERROR(VLOOKUP($B26,Projects!$A$2:$G$50,4,FALSE),"")</f>
        <v/>
      </c>
      <c r="F26" s="6">
        <f>IFERROR(VLOOKUP($B26,Projects!$A$2:$G$50,5,FALSE),"")</f>
        <v/>
      </c>
      <c r="G26" s="9">
        <f>SUM(H26:S26)</f>
        <v/>
      </c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19">
        <f>IF($A26="","",VLOOKUP($A26,DevRateTable,3,FALSE))</f>
        <v/>
      </c>
      <c r="U26" s="16">
        <f>IF(I26="","",I26*IFERROR(VLOOKUP($A26&amp;"|Feb",Lists!$J:$L,2,FALSE),0)*IFERROR(VLOOKUP($A26&amp;"|Feb",Lists!$J:$L,3,FALSE),0))</f>
        <v/>
      </c>
      <c r="V26" s="16">
        <f>IF(J26="","",J26*IFERROR(VLOOKUP($A26&amp;"|Mar",Lists!$J:$L,2,FALSE),0)*IFERROR(VLOOKUP($A26&amp;"|Mar",Lists!$J:$L,3,FALSE),0))</f>
        <v/>
      </c>
      <c r="W26" s="16">
        <f>IF(K26="","",K26*IFERROR(VLOOKUP($A26&amp;"|Apr",Lists!$J:$L,2,FALSE),0)*IFERROR(VLOOKUP($A26&amp;"|Apr",Lists!$J:$L,3,FALSE),0))</f>
        <v/>
      </c>
      <c r="X26" s="16">
        <f>IF(L26="","",L26*IFERROR(VLOOKUP($A26&amp;"|May",Lists!$J:$L,2,FALSE),0)*IFERROR(VLOOKUP($A26&amp;"|May",Lists!$J:$L,3,FALSE),0))</f>
        <v/>
      </c>
      <c r="Y26" s="16">
        <f>IF(M26="","",M26*IFERROR(VLOOKUP($A26&amp;"|Jun",Lists!$J:$L,2,FALSE),0)*IFERROR(VLOOKUP($A26&amp;"|Jun",Lists!$J:$L,3,FALSE),0))</f>
        <v/>
      </c>
      <c r="Z26" s="16">
        <f>IF(N26="","",N26*IFERROR(VLOOKUP($A26&amp;"|Jul",Lists!$J:$L,2,FALSE),0)*IFERROR(VLOOKUP($A26&amp;"|Jul",Lists!$J:$L,3,FALSE),0))</f>
        <v/>
      </c>
      <c r="AA26" s="16">
        <f>IF(O26="","",O26*IFERROR(VLOOKUP($A26&amp;"|Aug",Lists!$J:$L,2,FALSE),0)*IFERROR(VLOOKUP($A26&amp;"|Aug",Lists!$J:$L,3,FALSE),0))</f>
        <v/>
      </c>
      <c r="AB26" s="16">
        <f>IF(P26="","",P26*IFERROR(VLOOKUP($A26&amp;"|Sep",Lists!$J:$L,2,FALSE),0)*IFERROR(VLOOKUP($A26&amp;"|Sep",Lists!$J:$L,3,FALSE),0))</f>
        <v/>
      </c>
      <c r="AC26" s="16">
        <f>IF(Q26="","",Q26*IFERROR(VLOOKUP($A26&amp;"|Oct",Lists!$J:$L,2,FALSE),0)*IFERROR(VLOOKUP($A26&amp;"|Oct",Lists!$J:$L,3,FALSE),0))</f>
        <v/>
      </c>
      <c r="AD26" s="16">
        <f>IF(R26="","",R26*IFERROR(VLOOKUP($A26&amp;"|Nov",Lists!$J:$L,2,FALSE),0)*IFERROR(VLOOKUP($A26&amp;"|Nov",Lists!$J:$L,3,FALSE),0))</f>
        <v/>
      </c>
      <c r="AE26" s="16">
        <f>IF(S26="","",S26*IFERROR(VLOOKUP($A26&amp;"|Dec",Lists!$J:$L,2,FALSE),0)*IFERROR(VLOOKUP($A26&amp;"|Dec",Lists!$J:$L,3,FALSE),0))</f>
        <v/>
      </c>
    </row>
    <row r="27">
      <c r="A27" s="6" t="n"/>
      <c r="B27" s="6" t="n"/>
      <c r="C27" s="6">
        <f>IFERROR(VLOOKUP($B27,Projects!$A$2:$G$50,2,FALSE),"")</f>
        <v/>
      </c>
      <c r="D27" s="6">
        <f>IFERROR(VLOOKUP($B27,Projects!$A$2:$G$50,3,FALSE),"")</f>
        <v/>
      </c>
      <c r="E27" s="6">
        <f>IFERROR(VLOOKUP($B27,Projects!$A$2:$G$50,4,FALSE),"")</f>
        <v/>
      </c>
      <c r="F27" s="6">
        <f>IFERROR(VLOOKUP($B27,Projects!$A$2:$G$50,5,FALSE),"")</f>
        <v/>
      </c>
      <c r="G27" s="9">
        <f>SUM(H27:S27)</f>
        <v/>
      </c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19">
        <f>IF($A27="","",VLOOKUP($A27,DevRateTable,3,FALSE))</f>
        <v/>
      </c>
      <c r="U27" s="16">
        <f>IF(I27="","",I27*IFERROR(VLOOKUP($A27&amp;"|Feb",Lists!$J:$L,2,FALSE),0)*IFERROR(VLOOKUP($A27&amp;"|Feb",Lists!$J:$L,3,FALSE),0))</f>
        <v/>
      </c>
      <c r="V27" s="16">
        <f>IF(J27="","",J27*IFERROR(VLOOKUP($A27&amp;"|Mar",Lists!$J:$L,2,FALSE),0)*IFERROR(VLOOKUP($A27&amp;"|Mar",Lists!$J:$L,3,FALSE),0))</f>
        <v/>
      </c>
      <c r="W27" s="16">
        <f>IF(K27="","",K27*IFERROR(VLOOKUP($A27&amp;"|Apr",Lists!$J:$L,2,FALSE),0)*IFERROR(VLOOKUP($A27&amp;"|Apr",Lists!$J:$L,3,FALSE),0))</f>
        <v/>
      </c>
      <c r="X27" s="16">
        <f>IF(L27="","",L27*IFERROR(VLOOKUP($A27&amp;"|May",Lists!$J:$L,2,FALSE),0)*IFERROR(VLOOKUP($A27&amp;"|May",Lists!$J:$L,3,FALSE),0))</f>
        <v/>
      </c>
      <c r="Y27" s="16">
        <f>IF(M27="","",M27*IFERROR(VLOOKUP($A27&amp;"|Jun",Lists!$J:$L,2,FALSE),0)*IFERROR(VLOOKUP($A27&amp;"|Jun",Lists!$J:$L,3,FALSE),0))</f>
        <v/>
      </c>
      <c r="Z27" s="16">
        <f>IF(N27="","",N27*IFERROR(VLOOKUP($A27&amp;"|Jul",Lists!$J:$L,2,FALSE),0)*IFERROR(VLOOKUP($A27&amp;"|Jul",Lists!$J:$L,3,FALSE),0))</f>
        <v/>
      </c>
      <c r="AA27" s="16">
        <f>IF(O27="","",O27*IFERROR(VLOOKUP($A27&amp;"|Aug",Lists!$J:$L,2,FALSE),0)*IFERROR(VLOOKUP($A27&amp;"|Aug",Lists!$J:$L,3,FALSE),0))</f>
        <v/>
      </c>
      <c r="AB27" s="16">
        <f>IF(P27="","",P27*IFERROR(VLOOKUP($A27&amp;"|Sep",Lists!$J:$L,2,FALSE),0)*IFERROR(VLOOKUP($A27&amp;"|Sep",Lists!$J:$L,3,FALSE),0))</f>
        <v/>
      </c>
      <c r="AC27" s="16">
        <f>IF(Q27="","",Q27*IFERROR(VLOOKUP($A27&amp;"|Oct",Lists!$J:$L,2,FALSE),0)*IFERROR(VLOOKUP($A27&amp;"|Oct",Lists!$J:$L,3,FALSE),0))</f>
        <v/>
      </c>
      <c r="AD27" s="16">
        <f>IF(R27="","",R27*IFERROR(VLOOKUP($A27&amp;"|Nov",Lists!$J:$L,2,FALSE),0)*IFERROR(VLOOKUP($A27&amp;"|Nov",Lists!$J:$L,3,FALSE),0))</f>
        <v/>
      </c>
      <c r="AE27" s="16">
        <f>IF(S27="","",S27*IFERROR(VLOOKUP($A27&amp;"|Dec",Lists!$J:$L,2,FALSE),0)*IFERROR(VLOOKUP($A27&amp;"|Dec",Lists!$J:$L,3,FALSE),0))</f>
        <v/>
      </c>
    </row>
    <row r="28">
      <c r="A28" s="6" t="n"/>
      <c r="B28" s="6" t="n"/>
      <c r="C28" s="6">
        <f>IFERROR(VLOOKUP($B28,Projects!$A$2:$G$50,2,FALSE),"")</f>
        <v/>
      </c>
      <c r="D28" s="6">
        <f>IFERROR(VLOOKUP($B28,Projects!$A$2:$G$50,3,FALSE),"")</f>
        <v/>
      </c>
      <c r="E28" s="6">
        <f>IFERROR(VLOOKUP($B28,Projects!$A$2:$G$50,4,FALSE),"")</f>
        <v/>
      </c>
      <c r="F28" s="6">
        <f>IFERROR(VLOOKUP($B28,Projects!$A$2:$G$50,5,FALSE),"")</f>
        <v/>
      </c>
      <c r="G28" s="9">
        <f>SUM(H28:S28)</f>
        <v/>
      </c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19">
        <f>IF($A28="","",VLOOKUP($A28,DevRateTable,3,FALSE))</f>
        <v/>
      </c>
      <c r="U28" s="16">
        <f>IF(I28="","",I28*IFERROR(VLOOKUP($A28&amp;"|Feb",Lists!$J:$L,2,FALSE),0)*IFERROR(VLOOKUP($A28&amp;"|Feb",Lists!$J:$L,3,FALSE),0))</f>
        <v/>
      </c>
      <c r="V28" s="16">
        <f>IF(J28="","",J28*IFERROR(VLOOKUP($A28&amp;"|Mar",Lists!$J:$L,2,FALSE),0)*IFERROR(VLOOKUP($A28&amp;"|Mar",Lists!$J:$L,3,FALSE),0))</f>
        <v/>
      </c>
      <c r="W28" s="16">
        <f>IF(K28="","",K28*IFERROR(VLOOKUP($A28&amp;"|Apr",Lists!$J:$L,2,FALSE),0)*IFERROR(VLOOKUP($A28&amp;"|Apr",Lists!$J:$L,3,FALSE),0))</f>
        <v/>
      </c>
      <c r="X28" s="16">
        <f>IF(L28="","",L28*IFERROR(VLOOKUP($A28&amp;"|May",Lists!$J:$L,2,FALSE),0)*IFERROR(VLOOKUP($A28&amp;"|May",Lists!$J:$L,3,FALSE),0))</f>
        <v/>
      </c>
      <c r="Y28" s="16">
        <f>IF(M28="","",M28*IFERROR(VLOOKUP($A28&amp;"|Jun",Lists!$J:$L,2,FALSE),0)*IFERROR(VLOOKUP($A28&amp;"|Jun",Lists!$J:$L,3,FALSE),0))</f>
        <v/>
      </c>
      <c r="Z28" s="16">
        <f>IF(N28="","",N28*IFERROR(VLOOKUP($A28&amp;"|Jul",Lists!$J:$L,2,FALSE),0)*IFERROR(VLOOKUP($A28&amp;"|Jul",Lists!$J:$L,3,FALSE),0))</f>
        <v/>
      </c>
      <c r="AA28" s="16">
        <f>IF(O28="","",O28*IFERROR(VLOOKUP($A28&amp;"|Aug",Lists!$J:$L,2,FALSE),0)*IFERROR(VLOOKUP($A28&amp;"|Aug",Lists!$J:$L,3,FALSE),0))</f>
        <v/>
      </c>
      <c r="AB28" s="16">
        <f>IF(P28="","",P28*IFERROR(VLOOKUP($A28&amp;"|Sep",Lists!$J:$L,2,FALSE),0)*IFERROR(VLOOKUP($A28&amp;"|Sep",Lists!$J:$L,3,FALSE),0))</f>
        <v/>
      </c>
      <c r="AC28" s="16">
        <f>IF(Q28="","",Q28*IFERROR(VLOOKUP($A28&amp;"|Oct",Lists!$J:$L,2,FALSE),0)*IFERROR(VLOOKUP($A28&amp;"|Oct",Lists!$J:$L,3,FALSE),0))</f>
        <v/>
      </c>
      <c r="AD28" s="16">
        <f>IF(R28="","",R28*IFERROR(VLOOKUP($A28&amp;"|Nov",Lists!$J:$L,2,FALSE),0)*IFERROR(VLOOKUP($A28&amp;"|Nov",Lists!$J:$L,3,FALSE),0))</f>
        <v/>
      </c>
      <c r="AE28" s="16">
        <f>IF(S28="","",S28*IFERROR(VLOOKUP($A28&amp;"|Dec",Lists!$J:$L,2,FALSE),0)*IFERROR(VLOOKUP($A28&amp;"|Dec",Lists!$J:$L,3,FALSE),0))</f>
        <v/>
      </c>
    </row>
    <row r="29">
      <c r="A29" s="6" t="n"/>
      <c r="B29" s="6" t="n"/>
      <c r="C29" s="6">
        <f>IFERROR(VLOOKUP($B29,Projects!$A$2:$G$50,2,FALSE),"")</f>
        <v/>
      </c>
      <c r="D29" s="6">
        <f>IFERROR(VLOOKUP($B29,Projects!$A$2:$G$50,3,FALSE),"")</f>
        <v/>
      </c>
      <c r="E29" s="6">
        <f>IFERROR(VLOOKUP($B29,Projects!$A$2:$G$50,4,FALSE),"")</f>
        <v/>
      </c>
      <c r="F29" s="6">
        <f>IFERROR(VLOOKUP($B29,Projects!$A$2:$G$50,5,FALSE),"")</f>
        <v/>
      </c>
      <c r="G29" s="9">
        <f>SUM(H29:S29)</f>
        <v/>
      </c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19">
        <f>IF($A29="","",VLOOKUP($A29,DevRateTable,3,FALSE))</f>
        <v/>
      </c>
      <c r="U29" s="16">
        <f>IF(I29="","",I29*IFERROR(VLOOKUP($A29&amp;"|Feb",Lists!$J:$L,2,FALSE),0)*IFERROR(VLOOKUP($A29&amp;"|Feb",Lists!$J:$L,3,FALSE),0))</f>
        <v/>
      </c>
      <c r="V29" s="16">
        <f>IF(J29="","",J29*IFERROR(VLOOKUP($A29&amp;"|Mar",Lists!$J:$L,2,FALSE),0)*IFERROR(VLOOKUP($A29&amp;"|Mar",Lists!$J:$L,3,FALSE),0))</f>
        <v/>
      </c>
      <c r="W29" s="16">
        <f>IF(K29="","",K29*IFERROR(VLOOKUP($A29&amp;"|Apr",Lists!$J:$L,2,FALSE),0)*IFERROR(VLOOKUP($A29&amp;"|Apr",Lists!$J:$L,3,FALSE),0))</f>
        <v/>
      </c>
      <c r="X29" s="16">
        <f>IF(L29="","",L29*IFERROR(VLOOKUP($A29&amp;"|May",Lists!$J:$L,2,FALSE),0)*IFERROR(VLOOKUP($A29&amp;"|May",Lists!$J:$L,3,FALSE),0))</f>
        <v/>
      </c>
      <c r="Y29" s="16">
        <f>IF(M29="","",M29*IFERROR(VLOOKUP($A29&amp;"|Jun",Lists!$J:$L,2,FALSE),0)*IFERROR(VLOOKUP($A29&amp;"|Jun",Lists!$J:$L,3,FALSE),0))</f>
        <v/>
      </c>
      <c r="Z29" s="16">
        <f>IF(N29="","",N29*IFERROR(VLOOKUP($A29&amp;"|Jul",Lists!$J:$L,2,FALSE),0)*IFERROR(VLOOKUP($A29&amp;"|Jul",Lists!$J:$L,3,FALSE),0))</f>
        <v/>
      </c>
      <c r="AA29" s="16">
        <f>IF(O29="","",O29*IFERROR(VLOOKUP($A29&amp;"|Aug",Lists!$J:$L,2,FALSE),0)*IFERROR(VLOOKUP($A29&amp;"|Aug",Lists!$J:$L,3,FALSE),0))</f>
        <v/>
      </c>
      <c r="AB29" s="16">
        <f>IF(P29="","",P29*IFERROR(VLOOKUP($A29&amp;"|Sep",Lists!$J:$L,2,FALSE),0)*IFERROR(VLOOKUP($A29&amp;"|Sep",Lists!$J:$L,3,FALSE),0))</f>
        <v/>
      </c>
      <c r="AC29" s="16">
        <f>IF(Q29="","",Q29*IFERROR(VLOOKUP($A29&amp;"|Oct",Lists!$J:$L,2,FALSE),0)*IFERROR(VLOOKUP($A29&amp;"|Oct",Lists!$J:$L,3,FALSE),0))</f>
        <v/>
      </c>
      <c r="AD29" s="16">
        <f>IF(R29="","",R29*IFERROR(VLOOKUP($A29&amp;"|Nov",Lists!$J:$L,2,FALSE),0)*IFERROR(VLOOKUP($A29&amp;"|Nov",Lists!$J:$L,3,FALSE),0))</f>
        <v/>
      </c>
      <c r="AE29" s="16">
        <f>IF(S29="","",S29*IFERROR(VLOOKUP($A29&amp;"|Dec",Lists!$J:$L,2,FALSE),0)*IFERROR(VLOOKUP($A29&amp;"|Dec",Lists!$J:$L,3,FALSE),0))</f>
        <v/>
      </c>
    </row>
    <row r="30">
      <c r="A30" s="6" t="n"/>
      <c r="B30" s="6" t="n"/>
      <c r="C30" s="6">
        <f>IFERROR(VLOOKUP($B30,Projects!$A$2:$G$50,2,FALSE),"")</f>
        <v/>
      </c>
      <c r="D30" s="6">
        <f>IFERROR(VLOOKUP($B30,Projects!$A$2:$G$50,3,FALSE),"")</f>
        <v/>
      </c>
      <c r="E30" s="6">
        <f>IFERROR(VLOOKUP($B30,Projects!$A$2:$G$50,4,FALSE),"")</f>
        <v/>
      </c>
      <c r="F30" s="6">
        <f>IFERROR(VLOOKUP($B30,Projects!$A$2:$G$50,5,FALSE),"")</f>
        <v/>
      </c>
      <c r="G30" s="9">
        <f>SUM(H30:S30)</f>
        <v/>
      </c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19">
        <f>IF($A30="","",VLOOKUP($A30,DevRateTable,3,FALSE))</f>
        <v/>
      </c>
      <c r="U30" s="16">
        <f>IF(I30="","",I30*IFERROR(VLOOKUP($A30&amp;"|Feb",Lists!$J:$L,2,FALSE),0)*IFERROR(VLOOKUP($A30&amp;"|Feb",Lists!$J:$L,3,FALSE),0))</f>
        <v/>
      </c>
      <c r="V30" s="16">
        <f>IF(J30="","",J30*IFERROR(VLOOKUP($A30&amp;"|Mar",Lists!$J:$L,2,FALSE),0)*IFERROR(VLOOKUP($A30&amp;"|Mar",Lists!$J:$L,3,FALSE),0))</f>
        <v/>
      </c>
      <c r="W30" s="16">
        <f>IF(K30="","",K30*IFERROR(VLOOKUP($A30&amp;"|Apr",Lists!$J:$L,2,FALSE),0)*IFERROR(VLOOKUP($A30&amp;"|Apr",Lists!$J:$L,3,FALSE),0))</f>
        <v/>
      </c>
      <c r="X30" s="16">
        <f>IF(L30="","",L30*IFERROR(VLOOKUP($A30&amp;"|May",Lists!$J:$L,2,FALSE),0)*IFERROR(VLOOKUP($A30&amp;"|May",Lists!$J:$L,3,FALSE),0))</f>
        <v/>
      </c>
      <c r="Y30" s="16">
        <f>IF(M30="","",M30*IFERROR(VLOOKUP($A30&amp;"|Jun",Lists!$J:$L,2,FALSE),0)*IFERROR(VLOOKUP($A30&amp;"|Jun",Lists!$J:$L,3,FALSE),0))</f>
        <v/>
      </c>
      <c r="Z30" s="16">
        <f>IF(N30="","",N30*IFERROR(VLOOKUP($A30&amp;"|Jul",Lists!$J:$L,2,FALSE),0)*IFERROR(VLOOKUP($A30&amp;"|Jul",Lists!$J:$L,3,FALSE),0))</f>
        <v/>
      </c>
      <c r="AA30" s="16">
        <f>IF(O30="","",O30*IFERROR(VLOOKUP($A30&amp;"|Aug",Lists!$J:$L,2,FALSE),0)*IFERROR(VLOOKUP($A30&amp;"|Aug",Lists!$J:$L,3,FALSE),0))</f>
        <v/>
      </c>
      <c r="AB30" s="16">
        <f>IF(P30="","",P30*IFERROR(VLOOKUP($A30&amp;"|Sep",Lists!$J:$L,2,FALSE),0)*IFERROR(VLOOKUP($A30&amp;"|Sep",Lists!$J:$L,3,FALSE),0))</f>
        <v/>
      </c>
      <c r="AC30" s="16">
        <f>IF(Q30="","",Q30*IFERROR(VLOOKUP($A30&amp;"|Oct",Lists!$J:$L,2,FALSE),0)*IFERROR(VLOOKUP($A30&amp;"|Oct",Lists!$J:$L,3,FALSE),0))</f>
        <v/>
      </c>
      <c r="AD30" s="16">
        <f>IF(R30="","",R30*IFERROR(VLOOKUP($A30&amp;"|Nov",Lists!$J:$L,2,FALSE),0)*IFERROR(VLOOKUP($A30&amp;"|Nov",Lists!$J:$L,3,FALSE),0))</f>
        <v/>
      </c>
      <c r="AE30" s="16">
        <f>IF(S30="","",S30*IFERROR(VLOOKUP($A30&amp;"|Dec",Lists!$J:$L,2,FALSE),0)*IFERROR(VLOOKUP($A30&amp;"|Dec",Lists!$J:$L,3,FALSE),0))</f>
        <v/>
      </c>
    </row>
    <row r="31">
      <c r="A31" s="6" t="n"/>
      <c r="B31" s="6" t="n"/>
      <c r="C31" s="6">
        <f>IFERROR(VLOOKUP($B31,Projects!$A$2:$G$50,2,FALSE),"")</f>
        <v/>
      </c>
      <c r="D31" s="6">
        <f>IFERROR(VLOOKUP($B31,Projects!$A$2:$G$50,3,FALSE),"")</f>
        <v/>
      </c>
      <c r="E31" s="6">
        <f>IFERROR(VLOOKUP($B31,Projects!$A$2:$G$50,4,FALSE),"")</f>
        <v/>
      </c>
      <c r="F31" s="6">
        <f>IFERROR(VLOOKUP($B31,Projects!$A$2:$G$50,5,FALSE),"")</f>
        <v/>
      </c>
      <c r="G31" s="9">
        <f>SUM(H31:S31)</f>
        <v/>
      </c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19">
        <f>IF($A31="","",VLOOKUP($A31,DevRateTable,3,FALSE))</f>
        <v/>
      </c>
      <c r="U31" s="16">
        <f>IF(I31="","",I31*IFERROR(VLOOKUP($A31&amp;"|Feb",Lists!$J:$L,2,FALSE),0)*IFERROR(VLOOKUP($A31&amp;"|Feb",Lists!$J:$L,3,FALSE),0))</f>
        <v/>
      </c>
      <c r="V31" s="16">
        <f>IF(J31="","",J31*IFERROR(VLOOKUP($A31&amp;"|Mar",Lists!$J:$L,2,FALSE),0)*IFERROR(VLOOKUP($A31&amp;"|Mar",Lists!$J:$L,3,FALSE),0))</f>
        <v/>
      </c>
      <c r="W31" s="16">
        <f>IF(K31="","",K31*IFERROR(VLOOKUP($A31&amp;"|Apr",Lists!$J:$L,2,FALSE),0)*IFERROR(VLOOKUP($A31&amp;"|Apr",Lists!$J:$L,3,FALSE),0))</f>
        <v/>
      </c>
      <c r="X31" s="16">
        <f>IF(L31="","",L31*IFERROR(VLOOKUP($A31&amp;"|May",Lists!$J:$L,2,FALSE),0)*IFERROR(VLOOKUP($A31&amp;"|May",Lists!$J:$L,3,FALSE),0))</f>
        <v/>
      </c>
      <c r="Y31" s="16">
        <f>IF(M31="","",M31*IFERROR(VLOOKUP($A31&amp;"|Jun",Lists!$J:$L,2,FALSE),0)*IFERROR(VLOOKUP($A31&amp;"|Jun",Lists!$J:$L,3,FALSE),0))</f>
        <v/>
      </c>
      <c r="Z31" s="16">
        <f>IF(N31="","",N31*IFERROR(VLOOKUP($A31&amp;"|Jul",Lists!$J:$L,2,FALSE),0)*IFERROR(VLOOKUP($A31&amp;"|Jul",Lists!$J:$L,3,FALSE),0))</f>
        <v/>
      </c>
      <c r="AA31" s="16">
        <f>IF(O31="","",O31*IFERROR(VLOOKUP($A31&amp;"|Aug",Lists!$J:$L,2,FALSE),0)*IFERROR(VLOOKUP($A31&amp;"|Aug",Lists!$J:$L,3,FALSE),0))</f>
        <v/>
      </c>
      <c r="AB31" s="16">
        <f>IF(P31="","",P31*IFERROR(VLOOKUP($A31&amp;"|Sep",Lists!$J:$L,2,FALSE),0)*IFERROR(VLOOKUP($A31&amp;"|Sep",Lists!$J:$L,3,FALSE),0))</f>
        <v/>
      </c>
      <c r="AC31" s="16">
        <f>IF(Q31="","",Q31*IFERROR(VLOOKUP($A31&amp;"|Oct",Lists!$J:$L,2,FALSE),0)*IFERROR(VLOOKUP($A31&amp;"|Oct",Lists!$J:$L,3,FALSE),0))</f>
        <v/>
      </c>
      <c r="AD31" s="16">
        <f>IF(R31="","",R31*IFERROR(VLOOKUP($A31&amp;"|Nov",Lists!$J:$L,2,FALSE),0)*IFERROR(VLOOKUP($A31&amp;"|Nov",Lists!$J:$L,3,FALSE),0))</f>
        <v/>
      </c>
      <c r="AE31" s="16">
        <f>IF(S31="","",S31*IFERROR(VLOOKUP($A31&amp;"|Dec",Lists!$J:$L,2,FALSE),0)*IFERROR(VLOOKUP($A31&amp;"|Dec",Lists!$J:$L,3,FALSE),0))</f>
        <v/>
      </c>
    </row>
    <row r="32">
      <c r="A32" s="6" t="n"/>
      <c r="B32" s="6" t="n"/>
      <c r="C32" s="6">
        <f>IFERROR(VLOOKUP($B32,Projects!$A$2:$G$50,2,FALSE),"")</f>
        <v/>
      </c>
      <c r="D32" s="6">
        <f>IFERROR(VLOOKUP($B32,Projects!$A$2:$G$50,3,FALSE),"")</f>
        <v/>
      </c>
      <c r="E32" s="6">
        <f>IFERROR(VLOOKUP($B32,Projects!$A$2:$G$50,4,FALSE),"")</f>
        <v/>
      </c>
      <c r="F32" s="6">
        <f>IFERROR(VLOOKUP($B32,Projects!$A$2:$G$50,5,FALSE),"")</f>
        <v/>
      </c>
      <c r="G32" s="9">
        <f>SUM(H32:S32)</f>
        <v/>
      </c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19">
        <f>IF($A32="","",VLOOKUP($A32,DevRateTable,3,FALSE))</f>
        <v/>
      </c>
      <c r="U32" s="16">
        <f>IF(I32="","",I32*IFERROR(VLOOKUP($A32&amp;"|Feb",Lists!$J:$L,2,FALSE),0)*IFERROR(VLOOKUP($A32&amp;"|Feb",Lists!$J:$L,3,FALSE),0))</f>
        <v/>
      </c>
      <c r="V32" s="16">
        <f>IF(J32="","",J32*IFERROR(VLOOKUP($A32&amp;"|Mar",Lists!$J:$L,2,FALSE),0)*IFERROR(VLOOKUP($A32&amp;"|Mar",Lists!$J:$L,3,FALSE),0))</f>
        <v/>
      </c>
      <c r="W32" s="16">
        <f>IF(K32="","",K32*IFERROR(VLOOKUP($A32&amp;"|Apr",Lists!$J:$L,2,FALSE),0)*IFERROR(VLOOKUP($A32&amp;"|Apr",Lists!$J:$L,3,FALSE),0))</f>
        <v/>
      </c>
      <c r="X32" s="16">
        <f>IF(L32="","",L32*IFERROR(VLOOKUP($A32&amp;"|May",Lists!$J:$L,2,FALSE),0)*IFERROR(VLOOKUP($A32&amp;"|May",Lists!$J:$L,3,FALSE),0))</f>
        <v/>
      </c>
      <c r="Y32" s="16">
        <f>IF(M32="","",M32*IFERROR(VLOOKUP($A32&amp;"|Jun",Lists!$J:$L,2,FALSE),0)*IFERROR(VLOOKUP($A32&amp;"|Jun",Lists!$J:$L,3,FALSE),0))</f>
        <v/>
      </c>
      <c r="Z32" s="16">
        <f>IF(N32="","",N32*IFERROR(VLOOKUP($A32&amp;"|Jul",Lists!$J:$L,2,FALSE),0)*IFERROR(VLOOKUP($A32&amp;"|Jul",Lists!$J:$L,3,FALSE),0))</f>
        <v/>
      </c>
      <c r="AA32" s="16">
        <f>IF(O32="","",O32*IFERROR(VLOOKUP($A32&amp;"|Aug",Lists!$J:$L,2,FALSE),0)*IFERROR(VLOOKUP($A32&amp;"|Aug",Lists!$J:$L,3,FALSE),0))</f>
        <v/>
      </c>
      <c r="AB32" s="16">
        <f>IF(P32="","",P32*IFERROR(VLOOKUP($A32&amp;"|Sep",Lists!$J:$L,2,FALSE),0)*IFERROR(VLOOKUP($A32&amp;"|Sep",Lists!$J:$L,3,FALSE),0))</f>
        <v/>
      </c>
      <c r="AC32" s="16">
        <f>IF(Q32="","",Q32*IFERROR(VLOOKUP($A32&amp;"|Oct",Lists!$J:$L,2,FALSE),0)*IFERROR(VLOOKUP($A32&amp;"|Oct",Lists!$J:$L,3,FALSE),0))</f>
        <v/>
      </c>
      <c r="AD32" s="16">
        <f>IF(R32="","",R32*IFERROR(VLOOKUP($A32&amp;"|Nov",Lists!$J:$L,2,FALSE),0)*IFERROR(VLOOKUP($A32&amp;"|Nov",Lists!$J:$L,3,FALSE),0))</f>
        <v/>
      </c>
      <c r="AE32" s="16">
        <f>IF(S32="","",S32*IFERROR(VLOOKUP($A32&amp;"|Dec",Lists!$J:$L,2,FALSE),0)*IFERROR(VLOOKUP($A32&amp;"|Dec",Lists!$J:$L,3,FALSE),0))</f>
        <v/>
      </c>
    </row>
    <row r="33">
      <c r="A33" s="6" t="n"/>
      <c r="B33" s="6" t="n"/>
      <c r="C33" s="6">
        <f>IFERROR(VLOOKUP($B33,Projects!$A$2:$G$50,2,FALSE),"")</f>
        <v/>
      </c>
      <c r="D33" s="6">
        <f>IFERROR(VLOOKUP($B33,Projects!$A$2:$G$50,3,FALSE),"")</f>
        <v/>
      </c>
      <c r="E33" s="6">
        <f>IFERROR(VLOOKUP($B33,Projects!$A$2:$G$50,4,FALSE),"")</f>
        <v/>
      </c>
      <c r="F33" s="6">
        <f>IFERROR(VLOOKUP($B33,Projects!$A$2:$G$50,5,FALSE),"")</f>
        <v/>
      </c>
      <c r="G33" s="9">
        <f>SUM(H33:S33)</f>
        <v/>
      </c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19">
        <f>IF($A33="","",VLOOKUP($A33,DevRateTable,3,FALSE))</f>
        <v/>
      </c>
      <c r="U33" s="16">
        <f>IF(I33="","",I33*IFERROR(VLOOKUP($A33&amp;"|Feb",Lists!$J:$L,2,FALSE),0)*IFERROR(VLOOKUP($A33&amp;"|Feb",Lists!$J:$L,3,FALSE),0))</f>
        <v/>
      </c>
      <c r="V33" s="16">
        <f>IF(J33="","",J33*IFERROR(VLOOKUP($A33&amp;"|Mar",Lists!$J:$L,2,FALSE),0)*IFERROR(VLOOKUP($A33&amp;"|Mar",Lists!$J:$L,3,FALSE),0))</f>
        <v/>
      </c>
      <c r="W33" s="16">
        <f>IF(K33="","",K33*IFERROR(VLOOKUP($A33&amp;"|Apr",Lists!$J:$L,2,FALSE),0)*IFERROR(VLOOKUP($A33&amp;"|Apr",Lists!$J:$L,3,FALSE),0))</f>
        <v/>
      </c>
      <c r="X33" s="16">
        <f>IF(L33="","",L33*IFERROR(VLOOKUP($A33&amp;"|May",Lists!$J:$L,2,FALSE),0)*IFERROR(VLOOKUP($A33&amp;"|May",Lists!$J:$L,3,FALSE),0))</f>
        <v/>
      </c>
      <c r="Y33" s="16">
        <f>IF(M33="","",M33*IFERROR(VLOOKUP($A33&amp;"|Jun",Lists!$J:$L,2,FALSE),0)*IFERROR(VLOOKUP($A33&amp;"|Jun",Lists!$J:$L,3,FALSE),0))</f>
        <v/>
      </c>
      <c r="Z33" s="16">
        <f>IF(N33="","",N33*IFERROR(VLOOKUP($A33&amp;"|Jul",Lists!$J:$L,2,FALSE),0)*IFERROR(VLOOKUP($A33&amp;"|Jul",Lists!$J:$L,3,FALSE),0))</f>
        <v/>
      </c>
      <c r="AA33" s="16">
        <f>IF(O33="","",O33*IFERROR(VLOOKUP($A33&amp;"|Aug",Lists!$J:$L,2,FALSE),0)*IFERROR(VLOOKUP($A33&amp;"|Aug",Lists!$J:$L,3,FALSE),0))</f>
        <v/>
      </c>
      <c r="AB33" s="16">
        <f>IF(P33="","",P33*IFERROR(VLOOKUP($A33&amp;"|Sep",Lists!$J:$L,2,FALSE),0)*IFERROR(VLOOKUP($A33&amp;"|Sep",Lists!$J:$L,3,FALSE),0))</f>
        <v/>
      </c>
      <c r="AC33" s="16">
        <f>IF(Q33="","",Q33*IFERROR(VLOOKUP($A33&amp;"|Oct",Lists!$J:$L,2,FALSE),0)*IFERROR(VLOOKUP($A33&amp;"|Oct",Lists!$J:$L,3,FALSE),0))</f>
        <v/>
      </c>
      <c r="AD33" s="16">
        <f>IF(R33="","",R33*IFERROR(VLOOKUP($A33&amp;"|Nov",Lists!$J:$L,2,FALSE),0)*IFERROR(VLOOKUP($A33&amp;"|Nov",Lists!$J:$L,3,FALSE),0))</f>
        <v/>
      </c>
      <c r="AE33" s="16">
        <f>IF(S33="","",S33*IFERROR(VLOOKUP($A33&amp;"|Dec",Lists!$J:$L,2,FALSE),0)*IFERROR(VLOOKUP($A33&amp;"|Dec",Lists!$J:$L,3,FALSE),0))</f>
        <v/>
      </c>
    </row>
    <row r="34">
      <c r="A34" s="6" t="n"/>
      <c r="B34" s="6" t="n"/>
      <c r="C34" s="6">
        <f>IFERROR(VLOOKUP($B34,Projects!$A$2:$G$50,2,FALSE),"")</f>
        <v/>
      </c>
      <c r="D34" s="6">
        <f>IFERROR(VLOOKUP($B34,Projects!$A$2:$G$50,3,FALSE),"")</f>
        <v/>
      </c>
      <c r="E34" s="6">
        <f>IFERROR(VLOOKUP($B34,Projects!$A$2:$G$50,4,FALSE),"")</f>
        <v/>
      </c>
      <c r="F34" s="6">
        <f>IFERROR(VLOOKUP($B34,Projects!$A$2:$G$50,5,FALSE),"")</f>
        <v/>
      </c>
      <c r="G34" s="9">
        <f>SUM(H34:S34)</f>
        <v/>
      </c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19">
        <f>IF($A34="","",VLOOKUP($A34,DevRateTable,3,FALSE))</f>
        <v/>
      </c>
      <c r="U34" s="16">
        <f>IF(I34="","",I34*IFERROR(VLOOKUP($A34&amp;"|Feb",Lists!$J:$L,2,FALSE),0)*IFERROR(VLOOKUP($A34&amp;"|Feb",Lists!$J:$L,3,FALSE),0))</f>
        <v/>
      </c>
      <c r="V34" s="16">
        <f>IF(J34="","",J34*IFERROR(VLOOKUP($A34&amp;"|Mar",Lists!$J:$L,2,FALSE),0)*IFERROR(VLOOKUP($A34&amp;"|Mar",Lists!$J:$L,3,FALSE),0))</f>
        <v/>
      </c>
      <c r="W34" s="16">
        <f>IF(K34="","",K34*IFERROR(VLOOKUP($A34&amp;"|Apr",Lists!$J:$L,2,FALSE),0)*IFERROR(VLOOKUP($A34&amp;"|Apr",Lists!$J:$L,3,FALSE),0))</f>
        <v/>
      </c>
      <c r="X34" s="16">
        <f>IF(L34="","",L34*IFERROR(VLOOKUP($A34&amp;"|May",Lists!$J:$L,2,FALSE),0)*IFERROR(VLOOKUP($A34&amp;"|May",Lists!$J:$L,3,FALSE),0))</f>
        <v/>
      </c>
      <c r="Y34" s="16">
        <f>IF(M34="","",M34*IFERROR(VLOOKUP($A34&amp;"|Jun",Lists!$J:$L,2,FALSE),0)*IFERROR(VLOOKUP($A34&amp;"|Jun",Lists!$J:$L,3,FALSE),0))</f>
        <v/>
      </c>
      <c r="Z34" s="16">
        <f>IF(N34="","",N34*IFERROR(VLOOKUP($A34&amp;"|Jul",Lists!$J:$L,2,FALSE),0)*IFERROR(VLOOKUP($A34&amp;"|Jul",Lists!$J:$L,3,FALSE),0))</f>
        <v/>
      </c>
      <c r="AA34" s="16">
        <f>IF(O34="","",O34*IFERROR(VLOOKUP($A34&amp;"|Aug",Lists!$J:$L,2,FALSE),0)*IFERROR(VLOOKUP($A34&amp;"|Aug",Lists!$J:$L,3,FALSE),0))</f>
        <v/>
      </c>
      <c r="AB34" s="16">
        <f>IF(P34="","",P34*IFERROR(VLOOKUP($A34&amp;"|Sep",Lists!$J:$L,2,FALSE),0)*IFERROR(VLOOKUP($A34&amp;"|Sep",Lists!$J:$L,3,FALSE),0))</f>
        <v/>
      </c>
      <c r="AC34" s="16">
        <f>IF(Q34="","",Q34*IFERROR(VLOOKUP($A34&amp;"|Oct",Lists!$J:$L,2,FALSE),0)*IFERROR(VLOOKUP($A34&amp;"|Oct",Lists!$J:$L,3,FALSE),0))</f>
        <v/>
      </c>
      <c r="AD34" s="16">
        <f>IF(R34="","",R34*IFERROR(VLOOKUP($A34&amp;"|Nov",Lists!$J:$L,2,FALSE),0)*IFERROR(VLOOKUP($A34&amp;"|Nov",Lists!$J:$L,3,FALSE),0))</f>
        <v/>
      </c>
      <c r="AE34" s="16">
        <f>IF(S34="","",S34*IFERROR(VLOOKUP($A34&amp;"|Dec",Lists!$J:$L,2,FALSE),0)*IFERROR(VLOOKUP($A34&amp;"|Dec",Lists!$J:$L,3,FALSE),0))</f>
        <v/>
      </c>
    </row>
    <row r="35">
      <c r="A35" s="6" t="n"/>
      <c r="B35" s="6" t="n"/>
      <c r="C35" s="6">
        <f>IFERROR(VLOOKUP($B35,Projects!$A$2:$G$50,2,FALSE),"")</f>
        <v/>
      </c>
      <c r="D35" s="6">
        <f>IFERROR(VLOOKUP($B35,Projects!$A$2:$G$50,3,FALSE),"")</f>
        <v/>
      </c>
      <c r="E35" s="6">
        <f>IFERROR(VLOOKUP($B35,Projects!$A$2:$G$50,4,FALSE),"")</f>
        <v/>
      </c>
      <c r="F35" s="6">
        <f>IFERROR(VLOOKUP($B35,Projects!$A$2:$G$50,5,FALSE),"")</f>
        <v/>
      </c>
      <c r="G35" s="9">
        <f>SUM(H35:S35)</f>
        <v/>
      </c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19">
        <f>IF($A35="","",VLOOKUP($A35,DevRateTable,3,FALSE))</f>
        <v/>
      </c>
      <c r="U35" s="16">
        <f>IF(I35="","",I35*IFERROR(VLOOKUP($A35&amp;"|Feb",Lists!$J:$L,2,FALSE),0)*IFERROR(VLOOKUP($A35&amp;"|Feb",Lists!$J:$L,3,FALSE),0))</f>
        <v/>
      </c>
      <c r="V35" s="16">
        <f>IF(J35="","",J35*IFERROR(VLOOKUP($A35&amp;"|Mar",Lists!$J:$L,2,FALSE),0)*IFERROR(VLOOKUP($A35&amp;"|Mar",Lists!$J:$L,3,FALSE),0))</f>
        <v/>
      </c>
      <c r="W35" s="16">
        <f>IF(K35="","",K35*IFERROR(VLOOKUP($A35&amp;"|Apr",Lists!$J:$L,2,FALSE),0)*IFERROR(VLOOKUP($A35&amp;"|Apr",Lists!$J:$L,3,FALSE),0))</f>
        <v/>
      </c>
      <c r="X35" s="16">
        <f>IF(L35="","",L35*IFERROR(VLOOKUP($A35&amp;"|May",Lists!$J:$L,2,FALSE),0)*IFERROR(VLOOKUP($A35&amp;"|May",Lists!$J:$L,3,FALSE),0))</f>
        <v/>
      </c>
      <c r="Y35" s="16">
        <f>IF(M35="","",M35*IFERROR(VLOOKUP($A35&amp;"|Jun",Lists!$J:$L,2,FALSE),0)*IFERROR(VLOOKUP($A35&amp;"|Jun",Lists!$J:$L,3,FALSE),0))</f>
        <v/>
      </c>
      <c r="Z35" s="16">
        <f>IF(N35="","",N35*IFERROR(VLOOKUP($A35&amp;"|Jul",Lists!$J:$L,2,FALSE),0)*IFERROR(VLOOKUP($A35&amp;"|Jul",Lists!$J:$L,3,FALSE),0))</f>
        <v/>
      </c>
      <c r="AA35" s="16">
        <f>IF(O35="","",O35*IFERROR(VLOOKUP($A35&amp;"|Aug",Lists!$J:$L,2,FALSE),0)*IFERROR(VLOOKUP($A35&amp;"|Aug",Lists!$J:$L,3,FALSE),0))</f>
        <v/>
      </c>
      <c r="AB35" s="16">
        <f>IF(P35="","",P35*IFERROR(VLOOKUP($A35&amp;"|Sep",Lists!$J:$L,2,FALSE),0)*IFERROR(VLOOKUP($A35&amp;"|Sep",Lists!$J:$L,3,FALSE),0))</f>
        <v/>
      </c>
      <c r="AC35" s="16">
        <f>IF(Q35="","",Q35*IFERROR(VLOOKUP($A35&amp;"|Oct",Lists!$J:$L,2,FALSE),0)*IFERROR(VLOOKUP($A35&amp;"|Oct",Lists!$J:$L,3,FALSE),0))</f>
        <v/>
      </c>
      <c r="AD35" s="16">
        <f>IF(R35="","",R35*IFERROR(VLOOKUP($A35&amp;"|Nov",Lists!$J:$L,2,FALSE),0)*IFERROR(VLOOKUP($A35&amp;"|Nov",Lists!$J:$L,3,FALSE),0))</f>
        <v/>
      </c>
      <c r="AE35" s="16">
        <f>IF(S35="","",S35*IFERROR(VLOOKUP($A35&amp;"|Dec",Lists!$J:$L,2,FALSE),0)*IFERROR(VLOOKUP($A35&amp;"|Dec",Lists!$J:$L,3,FALSE),0))</f>
        <v/>
      </c>
    </row>
    <row r="36">
      <c r="A36" s="6" t="n"/>
      <c r="B36" s="6" t="n"/>
      <c r="C36" s="6">
        <f>IFERROR(VLOOKUP($B36,Projects!$A$2:$G$50,2,FALSE),"")</f>
        <v/>
      </c>
      <c r="D36" s="6">
        <f>IFERROR(VLOOKUP($B36,Projects!$A$2:$G$50,3,FALSE),"")</f>
        <v/>
      </c>
      <c r="E36" s="6">
        <f>IFERROR(VLOOKUP($B36,Projects!$A$2:$G$50,4,FALSE),"")</f>
        <v/>
      </c>
      <c r="F36" s="6">
        <f>IFERROR(VLOOKUP($B36,Projects!$A$2:$G$50,5,FALSE),"")</f>
        <v/>
      </c>
      <c r="G36" s="9">
        <f>SUM(H36:S36)</f>
        <v/>
      </c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19">
        <f>IF($A36="","",VLOOKUP($A36,DevRateTable,3,FALSE))</f>
        <v/>
      </c>
      <c r="U36" s="16">
        <f>IF(I36="","",I36*IFERROR(VLOOKUP($A36&amp;"|Feb",Lists!$J:$L,2,FALSE),0)*IFERROR(VLOOKUP($A36&amp;"|Feb",Lists!$J:$L,3,FALSE),0))</f>
        <v/>
      </c>
      <c r="V36" s="16">
        <f>IF(J36="","",J36*IFERROR(VLOOKUP($A36&amp;"|Mar",Lists!$J:$L,2,FALSE),0)*IFERROR(VLOOKUP($A36&amp;"|Mar",Lists!$J:$L,3,FALSE),0))</f>
        <v/>
      </c>
      <c r="W36" s="16">
        <f>IF(K36="","",K36*IFERROR(VLOOKUP($A36&amp;"|Apr",Lists!$J:$L,2,FALSE),0)*IFERROR(VLOOKUP($A36&amp;"|Apr",Lists!$J:$L,3,FALSE),0))</f>
        <v/>
      </c>
      <c r="X36" s="16">
        <f>IF(L36="","",L36*IFERROR(VLOOKUP($A36&amp;"|May",Lists!$J:$L,2,FALSE),0)*IFERROR(VLOOKUP($A36&amp;"|May",Lists!$J:$L,3,FALSE),0))</f>
        <v/>
      </c>
      <c r="Y36" s="16">
        <f>IF(M36="","",M36*IFERROR(VLOOKUP($A36&amp;"|Jun",Lists!$J:$L,2,FALSE),0)*IFERROR(VLOOKUP($A36&amp;"|Jun",Lists!$J:$L,3,FALSE),0))</f>
        <v/>
      </c>
      <c r="Z36" s="16">
        <f>IF(N36="","",N36*IFERROR(VLOOKUP($A36&amp;"|Jul",Lists!$J:$L,2,FALSE),0)*IFERROR(VLOOKUP($A36&amp;"|Jul",Lists!$J:$L,3,FALSE),0))</f>
        <v/>
      </c>
      <c r="AA36" s="16">
        <f>IF(O36="","",O36*IFERROR(VLOOKUP($A36&amp;"|Aug",Lists!$J:$L,2,FALSE),0)*IFERROR(VLOOKUP($A36&amp;"|Aug",Lists!$J:$L,3,FALSE),0))</f>
        <v/>
      </c>
      <c r="AB36" s="16">
        <f>IF(P36="","",P36*IFERROR(VLOOKUP($A36&amp;"|Sep",Lists!$J:$L,2,FALSE),0)*IFERROR(VLOOKUP($A36&amp;"|Sep",Lists!$J:$L,3,FALSE),0))</f>
        <v/>
      </c>
      <c r="AC36" s="16">
        <f>IF(Q36="","",Q36*IFERROR(VLOOKUP($A36&amp;"|Oct",Lists!$J:$L,2,FALSE),0)*IFERROR(VLOOKUP($A36&amp;"|Oct",Lists!$J:$L,3,FALSE),0))</f>
        <v/>
      </c>
      <c r="AD36" s="16">
        <f>IF(R36="","",R36*IFERROR(VLOOKUP($A36&amp;"|Nov",Lists!$J:$L,2,FALSE),0)*IFERROR(VLOOKUP($A36&amp;"|Nov",Lists!$J:$L,3,FALSE),0))</f>
        <v/>
      </c>
      <c r="AE36" s="16">
        <f>IF(S36="","",S36*IFERROR(VLOOKUP($A36&amp;"|Dec",Lists!$J:$L,2,FALSE),0)*IFERROR(VLOOKUP($A36&amp;"|Dec",Lists!$J:$L,3,FALSE),0))</f>
        <v/>
      </c>
    </row>
    <row r="37">
      <c r="A37" s="6" t="n"/>
      <c r="B37" s="6" t="n"/>
      <c r="C37" s="6">
        <f>IFERROR(VLOOKUP($B37,Projects!$A$2:$G$50,2,FALSE),"")</f>
        <v/>
      </c>
      <c r="D37" s="6">
        <f>IFERROR(VLOOKUP($B37,Projects!$A$2:$G$50,3,FALSE),"")</f>
        <v/>
      </c>
      <c r="E37" s="6">
        <f>IFERROR(VLOOKUP($B37,Projects!$A$2:$G$50,4,FALSE),"")</f>
        <v/>
      </c>
      <c r="F37" s="6">
        <f>IFERROR(VLOOKUP($B37,Projects!$A$2:$G$50,5,FALSE),"")</f>
        <v/>
      </c>
      <c r="G37" s="9">
        <f>SUM(H37:S37)</f>
        <v/>
      </c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19">
        <f>IF($A37="","",VLOOKUP($A37,DevRateTable,3,FALSE))</f>
        <v/>
      </c>
      <c r="U37" s="16">
        <f>IF(I37="","",I37*IFERROR(VLOOKUP($A37&amp;"|Feb",Lists!$J:$L,2,FALSE),0)*IFERROR(VLOOKUP($A37&amp;"|Feb",Lists!$J:$L,3,FALSE),0))</f>
        <v/>
      </c>
      <c r="V37" s="16">
        <f>IF(J37="","",J37*IFERROR(VLOOKUP($A37&amp;"|Mar",Lists!$J:$L,2,FALSE),0)*IFERROR(VLOOKUP($A37&amp;"|Mar",Lists!$J:$L,3,FALSE),0))</f>
        <v/>
      </c>
      <c r="W37" s="16">
        <f>IF(K37="","",K37*IFERROR(VLOOKUP($A37&amp;"|Apr",Lists!$J:$L,2,FALSE),0)*IFERROR(VLOOKUP($A37&amp;"|Apr",Lists!$J:$L,3,FALSE),0))</f>
        <v/>
      </c>
      <c r="X37" s="16">
        <f>IF(L37="","",L37*IFERROR(VLOOKUP($A37&amp;"|May",Lists!$J:$L,2,FALSE),0)*IFERROR(VLOOKUP($A37&amp;"|May",Lists!$J:$L,3,FALSE),0))</f>
        <v/>
      </c>
      <c r="Y37" s="16">
        <f>IF(M37="","",M37*IFERROR(VLOOKUP($A37&amp;"|Jun",Lists!$J:$L,2,FALSE),0)*IFERROR(VLOOKUP($A37&amp;"|Jun",Lists!$J:$L,3,FALSE),0))</f>
        <v/>
      </c>
      <c r="Z37" s="16">
        <f>IF(N37="","",N37*IFERROR(VLOOKUP($A37&amp;"|Jul",Lists!$J:$L,2,FALSE),0)*IFERROR(VLOOKUP($A37&amp;"|Jul",Lists!$J:$L,3,FALSE),0))</f>
        <v/>
      </c>
      <c r="AA37" s="16">
        <f>IF(O37="","",O37*IFERROR(VLOOKUP($A37&amp;"|Aug",Lists!$J:$L,2,FALSE),0)*IFERROR(VLOOKUP($A37&amp;"|Aug",Lists!$J:$L,3,FALSE),0))</f>
        <v/>
      </c>
      <c r="AB37" s="16">
        <f>IF(P37="","",P37*IFERROR(VLOOKUP($A37&amp;"|Sep",Lists!$J:$L,2,FALSE),0)*IFERROR(VLOOKUP($A37&amp;"|Sep",Lists!$J:$L,3,FALSE),0))</f>
        <v/>
      </c>
      <c r="AC37" s="16">
        <f>IF(Q37="","",Q37*IFERROR(VLOOKUP($A37&amp;"|Oct",Lists!$J:$L,2,FALSE),0)*IFERROR(VLOOKUP($A37&amp;"|Oct",Lists!$J:$L,3,FALSE),0))</f>
        <v/>
      </c>
      <c r="AD37" s="16">
        <f>IF(R37="","",R37*IFERROR(VLOOKUP($A37&amp;"|Nov",Lists!$J:$L,2,FALSE),0)*IFERROR(VLOOKUP($A37&amp;"|Nov",Lists!$J:$L,3,FALSE),0))</f>
        <v/>
      </c>
      <c r="AE37" s="16">
        <f>IF(S37="","",S37*IFERROR(VLOOKUP($A37&amp;"|Dec",Lists!$J:$L,2,FALSE),0)*IFERROR(VLOOKUP($A37&amp;"|Dec",Lists!$J:$L,3,FALSE),0))</f>
        <v/>
      </c>
    </row>
    <row r="38">
      <c r="A38" s="6" t="n"/>
      <c r="B38" s="6" t="n"/>
      <c r="C38" s="6">
        <f>IFERROR(VLOOKUP($B38,Projects!$A$2:$G$50,2,FALSE),"")</f>
        <v/>
      </c>
      <c r="D38" s="6">
        <f>IFERROR(VLOOKUP($B38,Projects!$A$2:$G$50,3,FALSE),"")</f>
        <v/>
      </c>
      <c r="E38" s="6">
        <f>IFERROR(VLOOKUP($B38,Projects!$A$2:$G$50,4,FALSE),"")</f>
        <v/>
      </c>
      <c r="F38" s="6">
        <f>IFERROR(VLOOKUP($B38,Projects!$A$2:$G$50,5,FALSE),"")</f>
        <v/>
      </c>
      <c r="G38" s="9">
        <f>SUM(H38:S38)</f>
        <v/>
      </c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19">
        <f>IF($A38="","",VLOOKUP($A38,DevRateTable,3,FALSE))</f>
        <v/>
      </c>
      <c r="U38" s="16">
        <f>IF(I38="","",I38*IFERROR(VLOOKUP($A38&amp;"|Feb",Lists!$J:$L,2,FALSE),0)*IFERROR(VLOOKUP($A38&amp;"|Feb",Lists!$J:$L,3,FALSE),0))</f>
        <v/>
      </c>
      <c r="V38" s="16">
        <f>IF(J38="","",J38*IFERROR(VLOOKUP($A38&amp;"|Mar",Lists!$J:$L,2,FALSE),0)*IFERROR(VLOOKUP($A38&amp;"|Mar",Lists!$J:$L,3,FALSE),0))</f>
        <v/>
      </c>
      <c r="W38" s="16">
        <f>IF(K38="","",K38*IFERROR(VLOOKUP($A38&amp;"|Apr",Lists!$J:$L,2,FALSE),0)*IFERROR(VLOOKUP($A38&amp;"|Apr",Lists!$J:$L,3,FALSE),0))</f>
        <v/>
      </c>
      <c r="X38" s="16">
        <f>IF(L38="","",L38*IFERROR(VLOOKUP($A38&amp;"|May",Lists!$J:$L,2,FALSE),0)*IFERROR(VLOOKUP($A38&amp;"|May",Lists!$J:$L,3,FALSE),0))</f>
        <v/>
      </c>
      <c r="Y38" s="16">
        <f>IF(M38="","",M38*IFERROR(VLOOKUP($A38&amp;"|Jun",Lists!$J:$L,2,FALSE),0)*IFERROR(VLOOKUP($A38&amp;"|Jun",Lists!$J:$L,3,FALSE),0))</f>
        <v/>
      </c>
      <c r="Z38" s="16">
        <f>IF(N38="","",N38*IFERROR(VLOOKUP($A38&amp;"|Jul",Lists!$J:$L,2,FALSE),0)*IFERROR(VLOOKUP($A38&amp;"|Jul",Lists!$J:$L,3,FALSE),0))</f>
        <v/>
      </c>
      <c r="AA38" s="16">
        <f>IF(O38="","",O38*IFERROR(VLOOKUP($A38&amp;"|Aug",Lists!$J:$L,2,FALSE),0)*IFERROR(VLOOKUP($A38&amp;"|Aug",Lists!$J:$L,3,FALSE),0))</f>
        <v/>
      </c>
      <c r="AB38" s="16">
        <f>IF(P38="","",P38*IFERROR(VLOOKUP($A38&amp;"|Sep",Lists!$J:$L,2,FALSE),0)*IFERROR(VLOOKUP($A38&amp;"|Sep",Lists!$J:$L,3,FALSE),0))</f>
        <v/>
      </c>
      <c r="AC38" s="16">
        <f>IF(Q38="","",Q38*IFERROR(VLOOKUP($A38&amp;"|Oct",Lists!$J:$L,2,FALSE),0)*IFERROR(VLOOKUP($A38&amp;"|Oct",Lists!$J:$L,3,FALSE),0))</f>
        <v/>
      </c>
      <c r="AD38" s="16">
        <f>IF(R38="","",R38*IFERROR(VLOOKUP($A38&amp;"|Nov",Lists!$J:$L,2,FALSE),0)*IFERROR(VLOOKUP($A38&amp;"|Nov",Lists!$J:$L,3,FALSE),0))</f>
        <v/>
      </c>
      <c r="AE38" s="16">
        <f>IF(S38="","",S38*IFERROR(VLOOKUP($A38&amp;"|Dec",Lists!$J:$L,2,FALSE),0)*IFERROR(VLOOKUP($A38&amp;"|Dec",Lists!$J:$L,3,FALSE),0))</f>
        <v/>
      </c>
    </row>
    <row r="39">
      <c r="A39" s="6" t="n"/>
      <c r="B39" s="6" t="n"/>
      <c r="C39" s="6">
        <f>IFERROR(VLOOKUP($B39,Projects!$A$2:$G$50,2,FALSE),"")</f>
        <v/>
      </c>
      <c r="D39" s="6">
        <f>IFERROR(VLOOKUP($B39,Projects!$A$2:$G$50,3,FALSE),"")</f>
        <v/>
      </c>
      <c r="E39" s="6">
        <f>IFERROR(VLOOKUP($B39,Projects!$A$2:$G$50,4,FALSE),"")</f>
        <v/>
      </c>
      <c r="F39" s="6">
        <f>IFERROR(VLOOKUP($B39,Projects!$A$2:$G$50,5,FALSE),"")</f>
        <v/>
      </c>
      <c r="G39" s="9">
        <f>SUM(H39:S39)</f>
        <v/>
      </c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19">
        <f>IF($A39="","",VLOOKUP($A39,DevRateTable,3,FALSE))</f>
        <v/>
      </c>
      <c r="U39" s="16">
        <f>IF(I39="","",I39*IFERROR(VLOOKUP($A39&amp;"|Feb",Lists!$J:$L,2,FALSE),0)*IFERROR(VLOOKUP($A39&amp;"|Feb",Lists!$J:$L,3,FALSE),0))</f>
        <v/>
      </c>
      <c r="V39" s="16">
        <f>IF(J39="","",J39*IFERROR(VLOOKUP($A39&amp;"|Mar",Lists!$J:$L,2,FALSE),0)*IFERROR(VLOOKUP($A39&amp;"|Mar",Lists!$J:$L,3,FALSE),0))</f>
        <v/>
      </c>
      <c r="W39" s="16">
        <f>IF(K39="","",K39*IFERROR(VLOOKUP($A39&amp;"|Apr",Lists!$J:$L,2,FALSE),0)*IFERROR(VLOOKUP($A39&amp;"|Apr",Lists!$J:$L,3,FALSE),0))</f>
        <v/>
      </c>
      <c r="X39" s="16">
        <f>IF(L39="","",L39*IFERROR(VLOOKUP($A39&amp;"|May",Lists!$J:$L,2,FALSE),0)*IFERROR(VLOOKUP($A39&amp;"|May",Lists!$J:$L,3,FALSE),0))</f>
        <v/>
      </c>
      <c r="Y39" s="16">
        <f>IF(M39="","",M39*IFERROR(VLOOKUP($A39&amp;"|Jun",Lists!$J:$L,2,FALSE),0)*IFERROR(VLOOKUP($A39&amp;"|Jun",Lists!$J:$L,3,FALSE),0))</f>
        <v/>
      </c>
      <c r="Z39" s="16">
        <f>IF(N39="","",N39*IFERROR(VLOOKUP($A39&amp;"|Jul",Lists!$J:$L,2,FALSE),0)*IFERROR(VLOOKUP($A39&amp;"|Jul",Lists!$J:$L,3,FALSE),0))</f>
        <v/>
      </c>
      <c r="AA39" s="16">
        <f>IF(O39="","",O39*IFERROR(VLOOKUP($A39&amp;"|Aug",Lists!$J:$L,2,FALSE),0)*IFERROR(VLOOKUP($A39&amp;"|Aug",Lists!$J:$L,3,FALSE),0))</f>
        <v/>
      </c>
      <c r="AB39" s="16">
        <f>IF(P39="","",P39*IFERROR(VLOOKUP($A39&amp;"|Sep",Lists!$J:$L,2,FALSE),0)*IFERROR(VLOOKUP($A39&amp;"|Sep",Lists!$J:$L,3,FALSE),0))</f>
        <v/>
      </c>
      <c r="AC39" s="16">
        <f>IF(Q39="","",Q39*IFERROR(VLOOKUP($A39&amp;"|Oct",Lists!$J:$L,2,FALSE),0)*IFERROR(VLOOKUP($A39&amp;"|Oct",Lists!$J:$L,3,FALSE),0))</f>
        <v/>
      </c>
      <c r="AD39" s="16">
        <f>IF(R39="","",R39*IFERROR(VLOOKUP($A39&amp;"|Nov",Lists!$J:$L,2,FALSE),0)*IFERROR(VLOOKUP($A39&amp;"|Nov",Lists!$J:$L,3,FALSE),0))</f>
        <v/>
      </c>
      <c r="AE39" s="16">
        <f>IF(S39="","",S39*IFERROR(VLOOKUP($A39&amp;"|Dec",Lists!$J:$L,2,FALSE),0)*IFERROR(VLOOKUP($A39&amp;"|Dec",Lists!$J:$L,3,FALSE),0))</f>
        <v/>
      </c>
    </row>
    <row r="40">
      <c r="A40" s="6" t="n"/>
      <c r="B40" s="6" t="n"/>
      <c r="C40" s="6">
        <f>IFERROR(VLOOKUP($B40,Projects!$A$2:$G$50,2,FALSE),"")</f>
        <v/>
      </c>
      <c r="D40" s="6">
        <f>IFERROR(VLOOKUP($B40,Projects!$A$2:$G$50,3,FALSE),"")</f>
        <v/>
      </c>
      <c r="E40" s="6">
        <f>IFERROR(VLOOKUP($B40,Projects!$A$2:$G$50,4,FALSE),"")</f>
        <v/>
      </c>
      <c r="F40" s="6">
        <f>IFERROR(VLOOKUP($B40,Projects!$A$2:$G$50,5,FALSE),"")</f>
        <v/>
      </c>
      <c r="G40" s="9">
        <f>SUM(H40:S40)</f>
        <v/>
      </c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19">
        <f>IF($A40="","",VLOOKUP($A40,DevRateTable,3,FALSE))</f>
        <v/>
      </c>
      <c r="U40" s="16">
        <f>IF(I40="","",I40*IFERROR(VLOOKUP($A40&amp;"|Feb",Lists!$J:$L,2,FALSE),0)*IFERROR(VLOOKUP($A40&amp;"|Feb",Lists!$J:$L,3,FALSE),0))</f>
        <v/>
      </c>
      <c r="V40" s="16">
        <f>IF(J40="","",J40*IFERROR(VLOOKUP($A40&amp;"|Mar",Lists!$J:$L,2,FALSE),0)*IFERROR(VLOOKUP($A40&amp;"|Mar",Lists!$J:$L,3,FALSE),0))</f>
        <v/>
      </c>
      <c r="W40" s="16">
        <f>IF(K40="","",K40*IFERROR(VLOOKUP($A40&amp;"|Apr",Lists!$J:$L,2,FALSE),0)*IFERROR(VLOOKUP($A40&amp;"|Apr",Lists!$J:$L,3,FALSE),0))</f>
        <v/>
      </c>
      <c r="X40" s="16">
        <f>IF(L40="","",L40*IFERROR(VLOOKUP($A40&amp;"|May",Lists!$J:$L,2,FALSE),0)*IFERROR(VLOOKUP($A40&amp;"|May",Lists!$J:$L,3,FALSE),0))</f>
        <v/>
      </c>
      <c r="Y40" s="16">
        <f>IF(M40="","",M40*IFERROR(VLOOKUP($A40&amp;"|Jun",Lists!$J:$L,2,FALSE),0)*IFERROR(VLOOKUP($A40&amp;"|Jun",Lists!$J:$L,3,FALSE),0))</f>
        <v/>
      </c>
      <c r="Z40" s="16">
        <f>IF(N40="","",N40*IFERROR(VLOOKUP($A40&amp;"|Jul",Lists!$J:$L,2,FALSE),0)*IFERROR(VLOOKUP($A40&amp;"|Jul",Lists!$J:$L,3,FALSE),0))</f>
        <v/>
      </c>
      <c r="AA40" s="16">
        <f>IF(O40="","",O40*IFERROR(VLOOKUP($A40&amp;"|Aug",Lists!$J:$L,2,FALSE),0)*IFERROR(VLOOKUP($A40&amp;"|Aug",Lists!$J:$L,3,FALSE),0))</f>
        <v/>
      </c>
      <c r="AB40" s="16">
        <f>IF(P40="","",P40*IFERROR(VLOOKUP($A40&amp;"|Sep",Lists!$J:$L,2,FALSE),0)*IFERROR(VLOOKUP($A40&amp;"|Sep",Lists!$J:$L,3,FALSE),0))</f>
        <v/>
      </c>
      <c r="AC40" s="16">
        <f>IF(Q40="","",Q40*IFERROR(VLOOKUP($A40&amp;"|Oct",Lists!$J:$L,2,FALSE),0)*IFERROR(VLOOKUP($A40&amp;"|Oct",Lists!$J:$L,3,FALSE),0))</f>
        <v/>
      </c>
      <c r="AD40" s="16">
        <f>IF(R40="","",R40*IFERROR(VLOOKUP($A40&amp;"|Nov",Lists!$J:$L,2,FALSE),0)*IFERROR(VLOOKUP($A40&amp;"|Nov",Lists!$J:$L,3,FALSE),0))</f>
        <v/>
      </c>
      <c r="AE40" s="16">
        <f>IF(S40="","",S40*IFERROR(VLOOKUP($A40&amp;"|Dec",Lists!$J:$L,2,FALSE),0)*IFERROR(VLOOKUP($A40&amp;"|Dec",Lists!$J:$L,3,FALSE),0))</f>
        <v/>
      </c>
    </row>
    <row r="41">
      <c r="A41" s="6" t="n"/>
      <c r="B41" s="6" t="n"/>
      <c r="C41" s="6">
        <f>IFERROR(VLOOKUP($B41,Projects!$A$2:$G$50,2,FALSE),"")</f>
        <v/>
      </c>
      <c r="D41" s="6">
        <f>IFERROR(VLOOKUP($B41,Projects!$A$2:$G$50,3,FALSE),"")</f>
        <v/>
      </c>
      <c r="E41" s="6">
        <f>IFERROR(VLOOKUP($B41,Projects!$A$2:$G$50,4,FALSE),"")</f>
        <v/>
      </c>
      <c r="F41" s="6">
        <f>IFERROR(VLOOKUP($B41,Projects!$A$2:$G$50,5,FALSE),"")</f>
        <v/>
      </c>
      <c r="G41" s="9">
        <f>SUM(H41:S41)</f>
        <v/>
      </c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19">
        <f>IF($A41="","",VLOOKUP($A41,DevRateTable,3,FALSE))</f>
        <v/>
      </c>
      <c r="U41" s="16">
        <f>IF(I41="","",I41*IFERROR(VLOOKUP($A41&amp;"|Feb",Lists!$J:$L,2,FALSE),0)*IFERROR(VLOOKUP($A41&amp;"|Feb",Lists!$J:$L,3,FALSE),0))</f>
        <v/>
      </c>
      <c r="V41" s="16">
        <f>IF(J41="","",J41*IFERROR(VLOOKUP($A41&amp;"|Mar",Lists!$J:$L,2,FALSE),0)*IFERROR(VLOOKUP($A41&amp;"|Mar",Lists!$J:$L,3,FALSE),0))</f>
        <v/>
      </c>
      <c r="W41" s="16">
        <f>IF(K41="","",K41*IFERROR(VLOOKUP($A41&amp;"|Apr",Lists!$J:$L,2,FALSE),0)*IFERROR(VLOOKUP($A41&amp;"|Apr",Lists!$J:$L,3,FALSE),0))</f>
        <v/>
      </c>
      <c r="X41" s="16">
        <f>IF(L41="","",L41*IFERROR(VLOOKUP($A41&amp;"|May",Lists!$J:$L,2,FALSE),0)*IFERROR(VLOOKUP($A41&amp;"|May",Lists!$J:$L,3,FALSE),0))</f>
        <v/>
      </c>
      <c r="Y41" s="16">
        <f>IF(M41="","",M41*IFERROR(VLOOKUP($A41&amp;"|Jun",Lists!$J:$L,2,FALSE),0)*IFERROR(VLOOKUP($A41&amp;"|Jun",Lists!$J:$L,3,FALSE),0))</f>
        <v/>
      </c>
      <c r="Z41" s="16">
        <f>IF(N41="","",N41*IFERROR(VLOOKUP($A41&amp;"|Jul",Lists!$J:$L,2,FALSE),0)*IFERROR(VLOOKUP($A41&amp;"|Jul",Lists!$J:$L,3,FALSE),0))</f>
        <v/>
      </c>
      <c r="AA41" s="16">
        <f>IF(O41="","",O41*IFERROR(VLOOKUP($A41&amp;"|Aug",Lists!$J:$L,2,FALSE),0)*IFERROR(VLOOKUP($A41&amp;"|Aug",Lists!$J:$L,3,FALSE),0))</f>
        <v/>
      </c>
      <c r="AB41" s="16">
        <f>IF(P41="","",P41*IFERROR(VLOOKUP($A41&amp;"|Sep",Lists!$J:$L,2,FALSE),0)*IFERROR(VLOOKUP($A41&amp;"|Sep",Lists!$J:$L,3,FALSE),0))</f>
        <v/>
      </c>
      <c r="AC41" s="16">
        <f>IF(Q41="","",Q41*IFERROR(VLOOKUP($A41&amp;"|Oct",Lists!$J:$L,2,FALSE),0)*IFERROR(VLOOKUP($A41&amp;"|Oct",Lists!$J:$L,3,FALSE),0))</f>
        <v/>
      </c>
      <c r="AD41" s="16">
        <f>IF(R41="","",R41*IFERROR(VLOOKUP($A41&amp;"|Nov",Lists!$J:$L,2,FALSE),0)*IFERROR(VLOOKUP($A41&amp;"|Nov",Lists!$J:$L,3,FALSE),0))</f>
        <v/>
      </c>
      <c r="AE41" s="16">
        <f>IF(S41="","",S41*IFERROR(VLOOKUP($A41&amp;"|Dec",Lists!$J:$L,2,FALSE),0)*IFERROR(VLOOKUP($A41&amp;"|Dec",Lists!$J:$L,3,FALSE),0))</f>
        <v/>
      </c>
    </row>
    <row r="42">
      <c r="A42" s="6" t="n"/>
      <c r="B42" s="6" t="n"/>
      <c r="C42" s="6">
        <f>IFERROR(VLOOKUP($B42,Projects!$A$2:$G$50,2,FALSE),"")</f>
        <v/>
      </c>
      <c r="D42" s="6">
        <f>IFERROR(VLOOKUP($B42,Projects!$A$2:$G$50,3,FALSE),"")</f>
        <v/>
      </c>
      <c r="E42" s="6">
        <f>IFERROR(VLOOKUP($B42,Projects!$A$2:$G$50,4,FALSE),"")</f>
        <v/>
      </c>
      <c r="F42" s="6">
        <f>IFERROR(VLOOKUP($B42,Projects!$A$2:$G$50,5,FALSE),"")</f>
        <v/>
      </c>
      <c r="G42" s="9">
        <f>SUM(H42:S42)</f>
        <v/>
      </c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19">
        <f>IF($A42="","",VLOOKUP($A42,DevRateTable,3,FALSE))</f>
        <v/>
      </c>
      <c r="U42" s="16">
        <f>IF(I42="","",I42*IFERROR(VLOOKUP($A42&amp;"|Feb",Lists!$J:$L,2,FALSE),0)*IFERROR(VLOOKUP($A42&amp;"|Feb",Lists!$J:$L,3,FALSE),0))</f>
        <v/>
      </c>
      <c r="V42" s="16">
        <f>IF(J42="","",J42*IFERROR(VLOOKUP($A42&amp;"|Mar",Lists!$J:$L,2,FALSE),0)*IFERROR(VLOOKUP($A42&amp;"|Mar",Lists!$J:$L,3,FALSE),0))</f>
        <v/>
      </c>
      <c r="W42" s="16">
        <f>IF(K42="","",K42*IFERROR(VLOOKUP($A42&amp;"|Apr",Lists!$J:$L,2,FALSE),0)*IFERROR(VLOOKUP($A42&amp;"|Apr",Lists!$J:$L,3,FALSE),0))</f>
        <v/>
      </c>
      <c r="X42" s="16">
        <f>IF(L42="","",L42*IFERROR(VLOOKUP($A42&amp;"|May",Lists!$J:$L,2,FALSE),0)*IFERROR(VLOOKUP($A42&amp;"|May",Lists!$J:$L,3,FALSE),0))</f>
        <v/>
      </c>
      <c r="Y42" s="16">
        <f>IF(M42="","",M42*IFERROR(VLOOKUP($A42&amp;"|Jun",Lists!$J:$L,2,FALSE),0)*IFERROR(VLOOKUP($A42&amp;"|Jun",Lists!$J:$L,3,FALSE),0))</f>
        <v/>
      </c>
      <c r="Z42" s="16">
        <f>IF(N42="","",N42*IFERROR(VLOOKUP($A42&amp;"|Jul",Lists!$J:$L,2,FALSE),0)*IFERROR(VLOOKUP($A42&amp;"|Jul",Lists!$J:$L,3,FALSE),0))</f>
        <v/>
      </c>
      <c r="AA42" s="16">
        <f>IF(O42="","",O42*IFERROR(VLOOKUP($A42&amp;"|Aug",Lists!$J:$L,2,FALSE),0)*IFERROR(VLOOKUP($A42&amp;"|Aug",Lists!$J:$L,3,FALSE),0))</f>
        <v/>
      </c>
      <c r="AB42" s="16">
        <f>IF(P42="","",P42*IFERROR(VLOOKUP($A42&amp;"|Sep",Lists!$J:$L,2,FALSE),0)*IFERROR(VLOOKUP($A42&amp;"|Sep",Lists!$J:$L,3,FALSE),0))</f>
        <v/>
      </c>
      <c r="AC42" s="16">
        <f>IF(Q42="","",Q42*IFERROR(VLOOKUP($A42&amp;"|Oct",Lists!$J:$L,2,FALSE),0)*IFERROR(VLOOKUP($A42&amp;"|Oct",Lists!$J:$L,3,FALSE),0))</f>
        <v/>
      </c>
      <c r="AD42" s="16">
        <f>IF(R42="","",R42*IFERROR(VLOOKUP($A42&amp;"|Nov",Lists!$J:$L,2,FALSE),0)*IFERROR(VLOOKUP($A42&amp;"|Nov",Lists!$J:$L,3,FALSE),0))</f>
        <v/>
      </c>
      <c r="AE42" s="16">
        <f>IF(S42="","",S42*IFERROR(VLOOKUP($A42&amp;"|Dec",Lists!$J:$L,2,FALSE),0)*IFERROR(VLOOKUP($A42&amp;"|Dec",Lists!$J:$L,3,FALSE),0))</f>
        <v/>
      </c>
    </row>
    <row r="43">
      <c r="A43" s="6" t="n"/>
      <c r="B43" s="6" t="n"/>
      <c r="C43" s="6">
        <f>IFERROR(VLOOKUP($B43,Projects!$A$2:$G$50,2,FALSE),"")</f>
        <v/>
      </c>
      <c r="D43" s="6">
        <f>IFERROR(VLOOKUP($B43,Projects!$A$2:$G$50,3,FALSE),"")</f>
        <v/>
      </c>
      <c r="E43" s="6">
        <f>IFERROR(VLOOKUP($B43,Projects!$A$2:$G$50,4,FALSE),"")</f>
        <v/>
      </c>
      <c r="F43" s="6">
        <f>IFERROR(VLOOKUP($B43,Projects!$A$2:$G$50,5,FALSE),"")</f>
        <v/>
      </c>
      <c r="G43" s="9">
        <f>SUM(H43:S43)</f>
        <v/>
      </c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19">
        <f>IF($A43="","",VLOOKUP($A43,DevRateTable,3,FALSE))</f>
        <v/>
      </c>
      <c r="U43" s="16">
        <f>IF(I43="","",I43*IFERROR(VLOOKUP($A43&amp;"|Feb",Lists!$J:$L,2,FALSE),0)*IFERROR(VLOOKUP($A43&amp;"|Feb",Lists!$J:$L,3,FALSE),0))</f>
        <v/>
      </c>
      <c r="V43" s="16">
        <f>IF(J43="","",J43*IFERROR(VLOOKUP($A43&amp;"|Mar",Lists!$J:$L,2,FALSE),0)*IFERROR(VLOOKUP($A43&amp;"|Mar",Lists!$J:$L,3,FALSE),0))</f>
        <v/>
      </c>
      <c r="W43" s="16">
        <f>IF(K43="","",K43*IFERROR(VLOOKUP($A43&amp;"|Apr",Lists!$J:$L,2,FALSE),0)*IFERROR(VLOOKUP($A43&amp;"|Apr",Lists!$J:$L,3,FALSE),0))</f>
        <v/>
      </c>
      <c r="X43" s="16">
        <f>IF(L43="","",L43*IFERROR(VLOOKUP($A43&amp;"|May",Lists!$J:$L,2,FALSE),0)*IFERROR(VLOOKUP($A43&amp;"|May",Lists!$J:$L,3,FALSE),0))</f>
        <v/>
      </c>
      <c r="Y43" s="16">
        <f>IF(M43="","",M43*IFERROR(VLOOKUP($A43&amp;"|Jun",Lists!$J:$L,2,FALSE),0)*IFERROR(VLOOKUP($A43&amp;"|Jun",Lists!$J:$L,3,FALSE),0))</f>
        <v/>
      </c>
      <c r="Z43" s="16">
        <f>IF(N43="","",N43*IFERROR(VLOOKUP($A43&amp;"|Jul",Lists!$J:$L,2,FALSE),0)*IFERROR(VLOOKUP($A43&amp;"|Jul",Lists!$J:$L,3,FALSE),0))</f>
        <v/>
      </c>
      <c r="AA43" s="16">
        <f>IF(O43="","",O43*IFERROR(VLOOKUP($A43&amp;"|Aug",Lists!$J:$L,2,FALSE),0)*IFERROR(VLOOKUP($A43&amp;"|Aug",Lists!$J:$L,3,FALSE),0))</f>
        <v/>
      </c>
      <c r="AB43" s="16">
        <f>IF(P43="","",P43*IFERROR(VLOOKUP($A43&amp;"|Sep",Lists!$J:$L,2,FALSE),0)*IFERROR(VLOOKUP($A43&amp;"|Sep",Lists!$J:$L,3,FALSE),0))</f>
        <v/>
      </c>
      <c r="AC43" s="16">
        <f>IF(Q43="","",Q43*IFERROR(VLOOKUP($A43&amp;"|Oct",Lists!$J:$L,2,FALSE),0)*IFERROR(VLOOKUP($A43&amp;"|Oct",Lists!$J:$L,3,FALSE),0))</f>
        <v/>
      </c>
      <c r="AD43" s="16">
        <f>IF(R43="","",R43*IFERROR(VLOOKUP($A43&amp;"|Nov",Lists!$J:$L,2,FALSE),0)*IFERROR(VLOOKUP($A43&amp;"|Nov",Lists!$J:$L,3,FALSE),0))</f>
        <v/>
      </c>
      <c r="AE43" s="16">
        <f>IF(S43="","",S43*IFERROR(VLOOKUP($A43&amp;"|Dec",Lists!$J:$L,2,FALSE),0)*IFERROR(VLOOKUP($A43&amp;"|Dec",Lists!$J:$L,3,FALSE),0))</f>
        <v/>
      </c>
    </row>
    <row r="44">
      <c r="A44" s="6" t="n"/>
      <c r="B44" s="6" t="n"/>
      <c r="C44" s="6">
        <f>IFERROR(VLOOKUP($B44,Projects!$A$2:$G$50,2,FALSE),"")</f>
        <v/>
      </c>
      <c r="D44" s="6">
        <f>IFERROR(VLOOKUP($B44,Projects!$A$2:$G$50,3,FALSE),"")</f>
        <v/>
      </c>
      <c r="E44" s="6">
        <f>IFERROR(VLOOKUP($B44,Projects!$A$2:$G$50,4,FALSE),"")</f>
        <v/>
      </c>
      <c r="F44" s="6">
        <f>IFERROR(VLOOKUP($B44,Projects!$A$2:$G$50,5,FALSE),"")</f>
        <v/>
      </c>
      <c r="G44" s="9">
        <f>SUM(H44:S44)</f>
        <v/>
      </c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19">
        <f>IF($A44="","",VLOOKUP($A44,DevRateTable,3,FALSE))</f>
        <v/>
      </c>
      <c r="U44" s="16">
        <f>IF(I44="","",I44*IFERROR(VLOOKUP($A44&amp;"|Feb",Lists!$J:$L,2,FALSE),0)*IFERROR(VLOOKUP($A44&amp;"|Feb",Lists!$J:$L,3,FALSE),0))</f>
        <v/>
      </c>
      <c r="V44" s="16">
        <f>IF(J44="","",J44*IFERROR(VLOOKUP($A44&amp;"|Mar",Lists!$J:$L,2,FALSE),0)*IFERROR(VLOOKUP($A44&amp;"|Mar",Lists!$J:$L,3,FALSE),0))</f>
        <v/>
      </c>
      <c r="W44" s="16">
        <f>IF(K44="","",K44*IFERROR(VLOOKUP($A44&amp;"|Apr",Lists!$J:$L,2,FALSE),0)*IFERROR(VLOOKUP($A44&amp;"|Apr",Lists!$J:$L,3,FALSE),0))</f>
        <v/>
      </c>
      <c r="X44" s="16">
        <f>IF(L44="","",L44*IFERROR(VLOOKUP($A44&amp;"|May",Lists!$J:$L,2,FALSE),0)*IFERROR(VLOOKUP($A44&amp;"|May",Lists!$J:$L,3,FALSE),0))</f>
        <v/>
      </c>
      <c r="Y44" s="16">
        <f>IF(M44="","",M44*IFERROR(VLOOKUP($A44&amp;"|Jun",Lists!$J:$L,2,FALSE),0)*IFERROR(VLOOKUP($A44&amp;"|Jun",Lists!$J:$L,3,FALSE),0))</f>
        <v/>
      </c>
      <c r="Z44" s="16">
        <f>IF(N44="","",N44*IFERROR(VLOOKUP($A44&amp;"|Jul",Lists!$J:$L,2,FALSE),0)*IFERROR(VLOOKUP($A44&amp;"|Jul",Lists!$J:$L,3,FALSE),0))</f>
        <v/>
      </c>
      <c r="AA44" s="16">
        <f>IF(O44="","",O44*IFERROR(VLOOKUP($A44&amp;"|Aug",Lists!$J:$L,2,FALSE),0)*IFERROR(VLOOKUP($A44&amp;"|Aug",Lists!$J:$L,3,FALSE),0))</f>
        <v/>
      </c>
      <c r="AB44" s="16">
        <f>IF(P44="","",P44*IFERROR(VLOOKUP($A44&amp;"|Sep",Lists!$J:$L,2,FALSE),0)*IFERROR(VLOOKUP($A44&amp;"|Sep",Lists!$J:$L,3,FALSE),0))</f>
        <v/>
      </c>
      <c r="AC44" s="16">
        <f>IF(Q44="","",Q44*IFERROR(VLOOKUP($A44&amp;"|Oct",Lists!$J:$L,2,FALSE),0)*IFERROR(VLOOKUP($A44&amp;"|Oct",Lists!$J:$L,3,FALSE),0))</f>
        <v/>
      </c>
      <c r="AD44" s="16">
        <f>IF(R44="","",R44*IFERROR(VLOOKUP($A44&amp;"|Nov",Lists!$J:$L,2,FALSE),0)*IFERROR(VLOOKUP($A44&amp;"|Nov",Lists!$J:$L,3,FALSE),0))</f>
        <v/>
      </c>
      <c r="AE44" s="16">
        <f>IF(S44="","",S44*IFERROR(VLOOKUP($A44&amp;"|Dec",Lists!$J:$L,2,FALSE),0)*IFERROR(VLOOKUP($A44&amp;"|Dec",Lists!$J:$L,3,FALSE),0))</f>
        <v/>
      </c>
    </row>
    <row r="45">
      <c r="A45" s="6" t="n"/>
      <c r="B45" s="6" t="n"/>
      <c r="C45" s="6">
        <f>IFERROR(VLOOKUP($B45,Projects!$A$2:$G$50,2,FALSE),"")</f>
        <v/>
      </c>
      <c r="D45" s="6">
        <f>IFERROR(VLOOKUP($B45,Projects!$A$2:$G$50,3,FALSE),"")</f>
        <v/>
      </c>
      <c r="E45" s="6">
        <f>IFERROR(VLOOKUP($B45,Projects!$A$2:$G$50,4,FALSE),"")</f>
        <v/>
      </c>
      <c r="F45" s="6">
        <f>IFERROR(VLOOKUP($B45,Projects!$A$2:$G$50,5,FALSE),"")</f>
        <v/>
      </c>
      <c r="G45" s="9">
        <f>SUM(H45:S45)</f>
        <v/>
      </c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19">
        <f>IF($A45="","",VLOOKUP($A45,DevRateTable,3,FALSE))</f>
        <v/>
      </c>
      <c r="U45" s="16">
        <f>IF(I45="","",I45*IFERROR(VLOOKUP($A45&amp;"|Feb",Lists!$J:$L,2,FALSE),0)*IFERROR(VLOOKUP($A45&amp;"|Feb",Lists!$J:$L,3,FALSE),0))</f>
        <v/>
      </c>
      <c r="V45" s="16">
        <f>IF(J45="","",J45*IFERROR(VLOOKUP($A45&amp;"|Mar",Lists!$J:$L,2,FALSE),0)*IFERROR(VLOOKUP($A45&amp;"|Mar",Lists!$J:$L,3,FALSE),0))</f>
        <v/>
      </c>
      <c r="W45" s="16">
        <f>IF(K45="","",K45*IFERROR(VLOOKUP($A45&amp;"|Apr",Lists!$J:$L,2,FALSE),0)*IFERROR(VLOOKUP($A45&amp;"|Apr",Lists!$J:$L,3,FALSE),0))</f>
        <v/>
      </c>
      <c r="X45" s="16">
        <f>IF(L45="","",L45*IFERROR(VLOOKUP($A45&amp;"|May",Lists!$J:$L,2,FALSE),0)*IFERROR(VLOOKUP($A45&amp;"|May",Lists!$J:$L,3,FALSE),0))</f>
        <v/>
      </c>
      <c r="Y45" s="16">
        <f>IF(M45="","",M45*IFERROR(VLOOKUP($A45&amp;"|Jun",Lists!$J:$L,2,FALSE),0)*IFERROR(VLOOKUP($A45&amp;"|Jun",Lists!$J:$L,3,FALSE),0))</f>
        <v/>
      </c>
      <c r="Z45" s="16">
        <f>IF(N45="","",N45*IFERROR(VLOOKUP($A45&amp;"|Jul",Lists!$J:$L,2,FALSE),0)*IFERROR(VLOOKUP($A45&amp;"|Jul",Lists!$J:$L,3,FALSE),0))</f>
        <v/>
      </c>
      <c r="AA45" s="16">
        <f>IF(O45="","",O45*IFERROR(VLOOKUP($A45&amp;"|Aug",Lists!$J:$L,2,FALSE),0)*IFERROR(VLOOKUP($A45&amp;"|Aug",Lists!$J:$L,3,FALSE),0))</f>
        <v/>
      </c>
      <c r="AB45" s="16">
        <f>IF(P45="","",P45*IFERROR(VLOOKUP($A45&amp;"|Sep",Lists!$J:$L,2,FALSE),0)*IFERROR(VLOOKUP($A45&amp;"|Sep",Lists!$J:$L,3,FALSE),0))</f>
        <v/>
      </c>
      <c r="AC45" s="16">
        <f>IF(Q45="","",Q45*IFERROR(VLOOKUP($A45&amp;"|Oct",Lists!$J:$L,2,FALSE),0)*IFERROR(VLOOKUP($A45&amp;"|Oct",Lists!$J:$L,3,FALSE),0))</f>
        <v/>
      </c>
      <c r="AD45" s="16">
        <f>IF(R45="","",R45*IFERROR(VLOOKUP($A45&amp;"|Nov",Lists!$J:$L,2,FALSE),0)*IFERROR(VLOOKUP($A45&amp;"|Nov",Lists!$J:$L,3,FALSE),0))</f>
        <v/>
      </c>
      <c r="AE45" s="16">
        <f>IF(S45="","",S45*IFERROR(VLOOKUP($A45&amp;"|Dec",Lists!$J:$L,2,FALSE),0)*IFERROR(VLOOKUP($A45&amp;"|Dec",Lists!$J:$L,3,FALSE),0))</f>
        <v/>
      </c>
    </row>
    <row r="46">
      <c r="A46" s="6" t="n"/>
      <c r="B46" s="6" t="n"/>
      <c r="C46" s="6">
        <f>IFERROR(VLOOKUP($B46,Projects!$A$2:$G$50,2,FALSE),"")</f>
        <v/>
      </c>
      <c r="D46" s="6">
        <f>IFERROR(VLOOKUP($B46,Projects!$A$2:$G$50,3,FALSE),"")</f>
        <v/>
      </c>
      <c r="E46" s="6">
        <f>IFERROR(VLOOKUP($B46,Projects!$A$2:$G$50,4,FALSE),"")</f>
        <v/>
      </c>
      <c r="F46" s="6">
        <f>IFERROR(VLOOKUP($B46,Projects!$A$2:$G$50,5,FALSE),"")</f>
        <v/>
      </c>
      <c r="G46" s="9">
        <f>SUM(H46:S46)</f>
        <v/>
      </c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19">
        <f>IF($A46="","",VLOOKUP($A46,DevRateTable,3,FALSE))</f>
        <v/>
      </c>
      <c r="U46" s="16">
        <f>IF(I46="","",I46*IFERROR(VLOOKUP($A46&amp;"|Feb",Lists!$J:$L,2,FALSE),0)*IFERROR(VLOOKUP($A46&amp;"|Feb",Lists!$J:$L,3,FALSE),0))</f>
        <v/>
      </c>
      <c r="V46" s="16">
        <f>IF(J46="","",J46*IFERROR(VLOOKUP($A46&amp;"|Mar",Lists!$J:$L,2,FALSE),0)*IFERROR(VLOOKUP($A46&amp;"|Mar",Lists!$J:$L,3,FALSE),0))</f>
        <v/>
      </c>
      <c r="W46" s="16">
        <f>IF(K46="","",K46*IFERROR(VLOOKUP($A46&amp;"|Apr",Lists!$J:$L,2,FALSE),0)*IFERROR(VLOOKUP($A46&amp;"|Apr",Lists!$J:$L,3,FALSE),0))</f>
        <v/>
      </c>
      <c r="X46" s="16">
        <f>IF(L46="","",L46*IFERROR(VLOOKUP($A46&amp;"|May",Lists!$J:$L,2,FALSE),0)*IFERROR(VLOOKUP($A46&amp;"|May",Lists!$J:$L,3,FALSE),0))</f>
        <v/>
      </c>
      <c r="Y46" s="16">
        <f>IF(M46="","",M46*IFERROR(VLOOKUP($A46&amp;"|Jun",Lists!$J:$L,2,FALSE),0)*IFERROR(VLOOKUP($A46&amp;"|Jun",Lists!$J:$L,3,FALSE),0))</f>
        <v/>
      </c>
      <c r="Z46" s="16">
        <f>IF(N46="","",N46*IFERROR(VLOOKUP($A46&amp;"|Jul",Lists!$J:$L,2,FALSE),0)*IFERROR(VLOOKUP($A46&amp;"|Jul",Lists!$J:$L,3,FALSE),0))</f>
        <v/>
      </c>
      <c r="AA46" s="16">
        <f>IF(O46="","",O46*IFERROR(VLOOKUP($A46&amp;"|Aug",Lists!$J:$L,2,FALSE),0)*IFERROR(VLOOKUP($A46&amp;"|Aug",Lists!$J:$L,3,FALSE),0))</f>
        <v/>
      </c>
      <c r="AB46" s="16">
        <f>IF(P46="","",P46*IFERROR(VLOOKUP($A46&amp;"|Sep",Lists!$J:$L,2,FALSE),0)*IFERROR(VLOOKUP($A46&amp;"|Sep",Lists!$J:$L,3,FALSE),0))</f>
        <v/>
      </c>
      <c r="AC46" s="16">
        <f>IF(Q46="","",Q46*IFERROR(VLOOKUP($A46&amp;"|Oct",Lists!$J:$L,2,FALSE),0)*IFERROR(VLOOKUP($A46&amp;"|Oct",Lists!$J:$L,3,FALSE),0))</f>
        <v/>
      </c>
      <c r="AD46" s="16">
        <f>IF(R46="","",R46*IFERROR(VLOOKUP($A46&amp;"|Nov",Lists!$J:$L,2,FALSE),0)*IFERROR(VLOOKUP($A46&amp;"|Nov",Lists!$J:$L,3,FALSE),0))</f>
        <v/>
      </c>
      <c r="AE46" s="16">
        <f>IF(S46="","",S46*IFERROR(VLOOKUP($A46&amp;"|Dec",Lists!$J:$L,2,FALSE),0)*IFERROR(VLOOKUP($A46&amp;"|Dec",Lists!$J:$L,3,FALSE),0))</f>
        <v/>
      </c>
    </row>
    <row r="47">
      <c r="A47" s="6" t="n"/>
      <c r="B47" s="6" t="n"/>
      <c r="C47" s="6">
        <f>IFERROR(VLOOKUP($B47,Projects!$A$2:$G$50,2,FALSE),"")</f>
        <v/>
      </c>
      <c r="D47" s="6">
        <f>IFERROR(VLOOKUP($B47,Projects!$A$2:$G$50,3,FALSE),"")</f>
        <v/>
      </c>
      <c r="E47" s="6">
        <f>IFERROR(VLOOKUP($B47,Projects!$A$2:$G$50,4,FALSE),"")</f>
        <v/>
      </c>
      <c r="F47" s="6">
        <f>IFERROR(VLOOKUP($B47,Projects!$A$2:$G$50,5,FALSE),"")</f>
        <v/>
      </c>
      <c r="G47" s="9">
        <f>SUM(H47:S47)</f>
        <v/>
      </c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19">
        <f>IF($A47="","",VLOOKUP($A47,DevRateTable,3,FALSE))</f>
        <v/>
      </c>
      <c r="U47" s="16">
        <f>IF(I47="","",I47*IFERROR(VLOOKUP($A47&amp;"|Feb",Lists!$J:$L,2,FALSE),0)*IFERROR(VLOOKUP($A47&amp;"|Feb",Lists!$J:$L,3,FALSE),0))</f>
        <v/>
      </c>
      <c r="V47" s="16">
        <f>IF(J47="","",J47*IFERROR(VLOOKUP($A47&amp;"|Mar",Lists!$J:$L,2,FALSE),0)*IFERROR(VLOOKUP($A47&amp;"|Mar",Lists!$J:$L,3,FALSE),0))</f>
        <v/>
      </c>
      <c r="W47" s="16">
        <f>IF(K47="","",K47*IFERROR(VLOOKUP($A47&amp;"|Apr",Lists!$J:$L,2,FALSE),0)*IFERROR(VLOOKUP($A47&amp;"|Apr",Lists!$J:$L,3,FALSE),0))</f>
        <v/>
      </c>
      <c r="X47" s="16">
        <f>IF(L47="","",L47*IFERROR(VLOOKUP($A47&amp;"|May",Lists!$J:$L,2,FALSE),0)*IFERROR(VLOOKUP($A47&amp;"|May",Lists!$J:$L,3,FALSE),0))</f>
        <v/>
      </c>
      <c r="Y47" s="16">
        <f>IF(M47="","",M47*IFERROR(VLOOKUP($A47&amp;"|Jun",Lists!$J:$L,2,FALSE),0)*IFERROR(VLOOKUP($A47&amp;"|Jun",Lists!$J:$L,3,FALSE),0))</f>
        <v/>
      </c>
      <c r="Z47" s="16">
        <f>IF(N47="","",N47*IFERROR(VLOOKUP($A47&amp;"|Jul",Lists!$J:$L,2,FALSE),0)*IFERROR(VLOOKUP($A47&amp;"|Jul",Lists!$J:$L,3,FALSE),0))</f>
        <v/>
      </c>
      <c r="AA47" s="16">
        <f>IF(O47="","",O47*IFERROR(VLOOKUP($A47&amp;"|Aug",Lists!$J:$L,2,FALSE),0)*IFERROR(VLOOKUP($A47&amp;"|Aug",Lists!$J:$L,3,FALSE),0))</f>
        <v/>
      </c>
      <c r="AB47" s="16">
        <f>IF(P47="","",P47*IFERROR(VLOOKUP($A47&amp;"|Sep",Lists!$J:$L,2,FALSE),0)*IFERROR(VLOOKUP($A47&amp;"|Sep",Lists!$J:$L,3,FALSE),0))</f>
        <v/>
      </c>
      <c r="AC47" s="16">
        <f>IF(Q47="","",Q47*IFERROR(VLOOKUP($A47&amp;"|Oct",Lists!$J:$L,2,FALSE),0)*IFERROR(VLOOKUP($A47&amp;"|Oct",Lists!$J:$L,3,FALSE),0))</f>
        <v/>
      </c>
      <c r="AD47" s="16">
        <f>IF(R47="","",R47*IFERROR(VLOOKUP($A47&amp;"|Nov",Lists!$J:$L,2,FALSE),0)*IFERROR(VLOOKUP($A47&amp;"|Nov",Lists!$J:$L,3,FALSE),0))</f>
        <v/>
      </c>
      <c r="AE47" s="16">
        <f>IF(S47="","",S47*IFERROR(VLOOKUP($A47&amp;"|Dec",Lists!$J:$L,2,FALSE),0)*IFERROR(VLOOKUP($A47&amp;"|Dec",Lists!$J:$L,3,FALSE),0))</f>
        <v/>
      </c>
    </row>
    <row r="48">
      <c r="A48" s="6" t="n"/>
      <c r="B48" s="6" t="n"/>
      <c r="C48" s="6">
        <f>IFERROR(VLOOKUP($B48,Projects!$A$2:$G$50,2,FALSE),"")</f>
        <v/>
      </c>
      <c r="D48" s="6">
        <f>IFERROR(VLOOKUP($B48,Projects!$A$2:$G$50,3,FALSE),"")</f>
        <v/>
      </c>
      <c r="E48" s="6">
        <f>IFERROR(VLOOKUP($B48,Projects!$A$2:$G$50,4,FALSE),"")</f>
        <v/>
      </c>
      <c r="F48" s="6">
        <f>IFERROR(VLOOKUP($B48,Projects!$A$2:$G$50,5,FALSE),"")</f>
        <v/>
      </c>
      <c r="G48" s="9">
        <f>SUM(H48:S48)</f>
        <v/>
      </c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19">
        <f>IF($A48="","",VLOOKUP($A48,DevRateTable,3,FALSE))</f>
        <v/>
      </c>
      <c r="U48" s="16">
        <f>IF(I48="","",I48*IFERROR(VLOOKUP($A48&amp;"|Feb",Lists!$J:$L,2,FALSE),0)*IFERROR(VLOOKUP($A48&amp;"|Feb",Lists!$J:$L,3,FALSE),0))</f>
        <v/>
      </c>
      <c r="V48" s="16">
        <f>IF(J48="","",J48*IFERROR(VLOOKUP($A48&amp;"|Mar",Lists!$J:$L,2,FALSE),0)*IFERROR(VLOOKUP($A48&amp;"|Mar",Lists!$J:$L,3,FALSE),0))</f>
        <v/>
      </c>
      <c r="W48" s="16">
        <f>IF(K48="","",K48*IFERROR(VLOOKUP($A48&amp;"|Apr",Lists!$J:$L,2,FALSE),0)*IFERROR(VLOOKUP($A48&amp;"|Apr",Lists!$J:$L,3,FALSE),0))</f>
        <v/>
      </c>
      <c r="X48" s="16">
        <f>IF(L48="","",L48*IFERROR(VLOOKUP($A48&amp;"|May",Lists!$J:$L,2,FALSE),0)*IFERROR(VLOOKUP($A48&amp;"|May",Lists!$J:$L,3,FALSE),0))</f>
        <v/>
      </c>
      <c r="Y48" s="16">
        <f>IF(M48="","",M48*IFERROR(VLOOKUP($A48&amp;"|Jun",Lists!$J:$L,2,FALSE),0)*IFERROR(VLOOKUP($A48&amp;"|Jun",Lists!$J:$L,3,FALSE),0))</f>
        <v/>
      </c>
      <c r="Z48" s="16">
        <f>IF(N48="","",N48*IFERROR(VLOOKUP($A48&amp;"|Jul",Lists!$J:$L,2,FALSE),0)*IFERROR(VLOOKUP($A48&amp;"|Jul",Lists!$J:$L,3,FALSE),0))</f>
        <v/>
      </c>
      <c r="AA48" s="16">
        <f>IF(O48="","",O48*IFERROR(VLOOKUP($A48&amp;"|Aug",Lists!$J:$L,2,FALSE),0)*IFERROR(VLOOKUP($A48&amp;"|Aug",Lists!$J:$L,3,FALSE),0))</f>
        <v/>
      </c>
      <c r="AB48" s="16">
        <f>IF(P48="","",P48*IFERROR(VLOOKUP($A48&amp;"|Sep",Lists!$J:$L,2,FALSE),0)*IFERROR(VLOOKUP($A48&amp;"|Sep",Lists!$J:$L,3,FALSE),0))</f>
        <v/>
      </c>
      <c r="AC48" s="16">
        <f>IF(Q48="","",Q48*IFERROR(VLOOKUP($A48&amp;"|Oct",Lists!$J:$L,2,FALSE),0)*IFERROR(VLOOKUP($A48&amp;"|Oct",Lists!$J:$L,3,FALSE),0))</f>
        <v/>
      </c>
      <c r="AD48" s="16">
        <f>IF(R48="","",R48*IFERROR(VLOOKUP($A48&amp;"|Nov",Lists!$J:$L,2,FALSE),0)*IFERROR(VLOOKUP($A48&amp;"|Nov",Lists!$J:$L,3,FALSE),0))</f>
        <v/>
      </c>
      <c r="AE48" s="16">
        <f>IF(S48="","",S48*IFERROR(VLOOKUP($A48&amp;"|Dec",Lists!$J:$L,2,FALSE),0)*IFERROR(VLOOKUP($A48&amp;"|Dec",Lists!$J:$L,3,FALSE),0))</f>
        <v/>
      </c>
    </row>
    <row r="49">
      <c r="A49" s="6" t="n"/>
      <c r="B49" s="6" t="n"/>
      <c r="C49" s="6">
        <f>IFERROR(VLOOKUP($B49,Projects!$A$2:$G$50,2,FALSE),"")</f>
        <v/>
      </c>
      <c r="D49" s="6">
        <f>IFERROR(VLOOKUP($B49,Projects!$A$2:$G$50,3,FALSE),"")</f>
        <v/>
      </c>
      <c r="E49" s="6">
        <f>IFERROR(VLOOKUP($B49,Projects!$A$2:$G$50,4,FALSE),"")</f>
        <v/>
      </c>
      <c r="F49" s="6">
        <f>IFERROR(VLOOKUP($B49,Projects!$A$2:$G$50,5,FALSE),"")</f>
        <v/>
      </c>
      <c r="G49" s="9">
        <f>SUM(H49:S49)</f>
        <v/>
      </c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19">
        <f>IF($A49="","",VLOOKUP($A49,DevRateTable,3,FALSE))</f>
        <v/>
      </c>
      <c r="U49" s="16">
        <f>IF(I49="","",I49*IFERROR(VLOOKUP($A49&amp;"|Feb",Lists!$J:$L,2,FALSE),0)*IFERROR(VLOOKUP($A49&amp;"|Feb",Lists!$J:$L,3,FALSE),0))</f>
        <v/>
      </c>
      <c r="V49" s="16">
        <f>IF(J49="","",J49*IFERROR(VLOOKUP($A49&amp;"|Mar",Lists!$J:$L,2,FALSE),0)*IFERROR(VLOOKUP($A49&amp;"|Mar",Lists!$J:$L,3,FALSE),0))</f>
        <v/>
      </c>
      <c r="W49" s="16">
        <f>IF(K49="","",K49*IFERROR(VLOOKUP($A49&amp;"|Apr",Lists!$J:$L,2,FALSE),0)*IFERROR(VLOOKUP($A49&amp;"|Apr",Lists!$J:$L,3,FALSE),0))</f>
        <v/>
      </c>
      <c r="X49" s="16">
        <f>IF(L49="","",L49*IFERROR(VLOOKUP($A49&amp;"|May",Lists!$J:$L,2,FALSE),0)*IFERROR(VLOOKUP($A49&amp;"|May",Lists!$J:$L,3,FALSE),0))</f>
        <v/>
      </c>
      <c r="Y49" s="16">
        <f>IF(M49="","",M49*IFERROR(VLOOKUP($A49&amp;"|Jun",Lists!$J:$L,2,FALSE),0)*IFERROR(VLOOKUP($A49&amp;"|Jun",Lists!$J:$L,3,FALSE),0))</f>
        <v/>
      </c>
      <c r="Z49" s="16">
        <f>IF(N49="","",N49*IFERROR(VLOOKUP($A49&amp;"|Jul",Lists!$J:$L,2,FALSE),0)*IFERROR(VLOOKUP($A49&amp;"|Jul",Lists!$J:$L,3,FALSE),0))</f>
        <v/>
      </c>
      <c r="AA49" s="16">
        <f>IF(O49="","",O49*IFERROR(VLOOKUP($A49&amp;"|Aug",Lists!$J:$L,2,FALSE),0)*IFERROR(VLOOKUP($A49&amp;"|Aug",Lists!$J:$L,3,FALSE),0))</f>
        <v/>
      </c>
      <c r="AB49" s="16">
        <f>IF(P49="","",P49*IFERROR(VLOOKUP($A49&amp;"|Sep",Lists!$J:$L,2,FALSE),0)*IFERROR(VLOOKUP($A49&amp;"|Sep",Lists!$J:$L,3,FALSE),0))</f>
        <v/>
      </c>
      <c r="AC49" s="16">
        <f>IF(Q49="","",Q49*IFERROR(VLOOKUP($A49&amp;"|Oct",Lists!$J:$L,2,FALSE),0)*IFERROR(VLOOKUP($A49&amp;"|Oct",Lists!$J:$L,3,FALSE),0))</f>
        <v/>
      </c>
      <c r="AD49" s="16">
        <f>IF(R49="","",R49*IFERROR(VLOOKUP($A49&amp;"|Nov",Lists!$J:$L,2,FALSE),0)*IFERROR(VLOOKUP($A49&amp;"|Nov",Lists!$J:$L,3,FALSE),0))</f>
        <v/>
      </c>
      <c r="AE49" s="16">
        <f>IF(S49="","",S49*IFERROR(VLOOKUP($A49&amp;"|Dec",Lists!$J:$L,2,FALSE),0)*IFERROR(VLOOKUP($A49&amp;"|Dec",Lists!$J:$L,3,FALSE),0))</f>
        <v/>
      </c>
    </row>
    <row r="50">
      <c r="A50" s="6" t="n"/>
      <c r="B50" s="6" t="n"/>
      <c r="C50" s="6">
        <f>IFERROR(VLOOKUP($B50,Projects!$A$2:$G$50,2,FALSE),"")</f>
        <v/>
      </c>
      <c r="D50" s="6">
        <f>IFERROR(VLOOKUP($B50,Projects!$A$2:$G$50,3,FALSE),"")</f>
        <v/>
      </c>
      <c r="E50" s="6">
        <f>IFERROR(VLOOKUP($B50,Projects!$A$2:$G$50,4,FALSE),"")</f>
        <v/>
      </c>
      <c r="F50" s="6">
        <f>IFERROR(VLOOKUP($B50,Projects!$A$2:$G$50,5,FALSE),"")</f>
        <v/>
      </c>
      <c r="G50" s="9">
        <f>SUM(H50:S50)</f>
        <v/>
      </c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19">
        <f>IF($A50="","",VLOOKUP($A50,DevRateTable,3,FALSE))</f>
        <v/>
      </c>
      <c r="U50" s="16">
        <f>IF(I50="","",I50*IFERROR(VLOOKUP($A50&amp;"|Feb",Lists!$J:$L,2,FALSE),0)*IFERROR(VLOOKUP($A50&amp;"|Feb",Lists!$J:$L,3,FALSE),0))</f>
        <v/>
      </c>
      <c r="V50" s="16">
        <f>IF(J50="","",J50*IFERROR(VLOOKUP($A50&amp;"|Mar",Lists!$J:$L,2,FALSE),0)*IFERROR(VLOOKUP($A50&amp;"|Mar",Lists!$J:$L,3,FALSE),0))</f>
        <v/>
      </c>
      <c r="W50" s="16">
        <f>IF(K50="","",K50*IFERROR(VLOOKUP($A50&amp;"|Apr",Lists!$J:$L,2,FALSE),0)*IFERROR(VLOOKUP($A50&amp;"|Apr",Lists!$J:$L,3,FALSE),0))</f>
        <v/>
      </c>
      <c r="X50" s="16">
        <f>IF(L50="","",L50*IFERROR(VLOOKUP($A50&amp;"|May",Lists!$J:$L,2,FALSE),0)*IFERROR(VLOOKUP($A50&amp;"|May",Lists!$J:$L,3,FALSE),0))</f>
        <v/>
      </c>
      <c r="Y50" s="16">
        <f>IF(M50="","",M50*IFERROR(VLOOKUP($A50&amp;"|Jun",Lists!$J:$L,2,FALSE),0)*IFERROR(VLOOKUP($A50&amp;"|Jun",Lists!$J:$L,3,FALSE),0))</f>
        <v/>
      </c>
      <c r="Z50" s="16">
        <f>IF(N50="","",N50*IFERROR(VLOOKUP($A50&amp;"|Jul",Lists!$J:$L,2,FALSE),0)*IFERROR(VLOOKUP($A50&amp;"|Jul",Lists!$J:$L,3,FALSE),0))</f>
        <v/>
      </c>
      <c r="AA50" s="16">
        <f>IF(O50="","",O50*IFERROR(VLOOKUP($A50&amp;"|Aug",Lists!$J:$L,2,FALSE),0)*IFERROR(VLOOKUP($A50&amp;"|Aug",Lists!$J:$L,3,FALSE),0))</f>
        <v/>
      </c>
      <c r="AB50" s="16">
        <f>IF(P50="","",P50*IFERROR(VLOOKUP($A50&amp;"|Sep",Lists!$J:$L,2,FALSE),0)*IFERROR(VLOOKUP($A50&amp;"|Sep",Lists!$J:$L,3,FALSE),0))</f>
        <v/>
      </c>
      <c r="AC50" s="16">
        <f>IF(Q50="","",Q50*IFERROR(VLOOKUP($A50&amp;"|Oct",Lists!$J:$L,2,FALSE),0)*IFERROR(VLOOKUP($A50&amp;"|Oct",Lists!$J:$L,3,FALSE),0))</f>
        <v/>
      </c>
      <c r="AD50" s="16">
        <f>IF(R50="","",R50*IFERROR(VLOOKUP($A50&amp;"|Nov",Lists!$J:$L,2,FALSE),0)*IFERROR(VLOOKUP($A50&amp;"|Nov",Lists!$J:$L,3,FALSE),0))</f>
        <v/>
      </c>
      <c r="AE50" s="16">
        <f>IF(S50="","",S50*IFERROR(VLOOKUP($A50&amp;"|Dec",Lists!$J:$L,2,FALSE),0)*IFERROR(VLOOKUP($A50&amp;"|Dec",Lists!$J:$L,3,FALSE),0))</f>
        <v/>
      </c>
    </row>
    <row r="51">
      <c r="A51" s="6" t="n"/>
      <c r="B51" s="6" t="n"/>
      <c r="C51" s="6">
        <f>IFERROR(VLOOKUP($B51,Projects!$A$2:$G$50,2,FALSE),"")</f>
        <v/>
      </c>
      <c r="D51" s="6">
        <f>IFERROR(VLOOKUP($B51,Projects!$A$2:$G$50,3,FALSE),"")</f>
        <v/>
      </c>
      <c r="E51" s="6">
        <f>IFERROR(VLOOKUP($B51,Projects!$A$2:$G$50,4,FALSE),"")</f>
        <v/>
      </c>
      <c r="F51" s="6">
        <f>IFERROR(VLOOKUP($B51,Projects!$A$2:$G$50,5,FALSE),"")</f>
        <v/>
      </c>
      <c r="G51" s="9">
        <f>SUM(H51:S51)</f>
        <v/>
      </c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19">
        <f>IF($A51="","",VLOOKUP($A51,DevRateTable,3,FALSE))</f>
        <v/>
      </c>
      <c r="U51" s="16">
        <f>IF(I51="","",I51*IFERROR(VLOOKUP($A51&amp;"|Feb",Lists!$J:$L,2,FALSE),0)*IFERROR(VLOOKUP($A51&amp;"|Feb",Lists!$J:$L,3,FALSE),0))</f>
        <v/>
      </c>
      <c r="V51" s="16">
        <f>IF(J51="","",J51*IFERROR(VLOOKUP($A51&amp;"|Mar",Lists!$J:$L,2,FALSE),0)*IFERROR(VLOOKUP($A51&amp;"|Mar",Lists!$J:$L,3,FALSE),0))</f>
        <v/>
      </c>
      <c r="W51" s="16">
        <f>IF(K51="","",K51*IFERROR(VLOOKUP($A51&amp;"|Apr",Lists!$J:$L,2,FALSE),0)*IFERROR(VLOOKUP($A51&amp;"|Apr",Lists!$J:$L,3,FALSE),0))</f>
        <v/>
      </c>
      <c r="X51" s="16">
        <f>IF(L51="","",L51*IFERROR(VLOOKUP($A51&amp;"|May",Lists!$J:$L,2,FALSE),0)*IFERROR(VLOOKUP($A51&amp;"|May",Lists!$J:$L,3,FALSE),0))</f>
        <v/>
      </c>
      <c r="Y51" s="16">
        <f>IF(M51="","",M51*IFERROR(VLOOKUP($A51&amp;"|Jun",Lists!$J:$L,2,FALSE),0)*IFERROR(VLOOKUP($A51&amp;"|Jun",Lists!$J:$L,3,FALSE),0))</f>
        <v/>
      </c>
      <c r="Z51" s="16">
        <f>IF(N51="","",N51*IFERROR(VLOOKUP($A51&amp;"|Jul",Lists!$J:$L,2,FALSE),0)*IFERROR(VLOOKUP($A51&amp;"|Jul",Lists!$J:$L,3,FALSE),0))</f>
        <v/>
      </c>
      <c r="AA51" s="16">
        <f>IF(O51="","",O51*IFERROR(VLOOKUP($A51&amp;"|Aug",Lists!$J:$L,2,FALSE),0)*IFERROR(VLOOKUP($A51&amp;"|Aug",Lists!$J:$L,3,FALSE),0))</f>
        <v/>
      </c>
      <c r="AB51" s="16">
        <f>IF(P51="","",P51*IFERROR(VLOOKUP($A51&amp;"|Sep",Lists!$J:$L,2,FALSE),0)*IFERROR(VLOOKUP($A51&amp;"|Sep",Lists!$J:$L,3,FALSE),0))</f>
        <v/>
      </c>
      <c r="AC51" s="16">
        <f>IF(Q51="","",Q51*IFERROR(VLOOKUP($A51&amp;"|Oct",Lists!$J:$L,2,FALSE),0)*IFERROR(VLOOKUP($A51&amp;"|Oct",Lists!$J:$L,3,FALSE),0))</f>
        <v/>
      </c>
      <c r="AD51" s="16">
        <f>IF(R51="","",R51*IFERROR(VLOOKUP($A51&amp;"|Nov",Lists!$J:$L,2,FALSE),0)*IFERROR(VLOOKUP($A51&amp;"|Nov",Lists!$J:$L,3,FALSE),0))</f>
        <v/>
      </c>
      <c r="AE51" s="16">
        <f>IF(S51="","",S51*IFERROR(VLOOKUP($A51&amp;"|Dec",Lists!$J:$L,2,FALSE),0)*IFERROR(VLOOKUP($A51&amp;"|Dec",Lists!$J:$L,3,FALSE),0))</f>
        <v/>
      </c>
    </row>
    <row r="52">
      <c r="A52" s="6" t="n"/>
      <c r="B52" s="6" t="n"/>
      <c r="C52" s="6">
        <f>IFERROR(VLOOKUP($B52,Projects!$A$2:$G$50,2,FALSE),"")</f>
        <v/>
      </c>
      <c r="D52" s="6">
        <f>IFERROR(VLOOKUP($B52,Projects!$A$2:$G$50,3,FALSE),"")</f>
        <v/>
      </c>
      <c r="E52" s="6">
        <f>IFERROR(VLOOKUP($B52,Projects!$A$2:$G$50,4,FALSE),"")</f>
        <v/>
      </c>
      <c r="F52" s="6">
        <f>IFERROR(VLOOKUP($B52,Projects!$A$2:$G$50,5,FALSE),"")</f>
        <v/>
      </c>
      <c r="G52" s="9">
        <f>SUM(H52:S52)</f>
        <v/>
      </c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19">
        <f>IF($A52="","",VLOOKUP($A52,DevRateTable,3,FALSE))</f>
        <v/>
      </c>
      <c r="U52" s="16">
        <f>IF(I52="","",I52*IFERROR(VLOOKUP($A52&amp;"|Feb",Lists!$J:$L,2,FALSE),0)*IFERROR(VLOOKUP($A52&amp;"|Feb",Lists!$J:$L,3,FALSE),0))</f>
        <v/>
      </c>
      <c r="V52" s="16">
        <f>IF(J52="","",J52*IFERROR(VLOOKUP($A52&amp;"|Mar",Lists!$J:$L,2,FALSE),0)*IFERROR(VLOOKUP($A52&amp;"|Mar",Lists!$J:$L,3,FALSE),0))</f>
        <v/>
      </c>
      <c r="W52" s="16">
        <f>IF(K52="","",K52*IFERROR(VLOOKUP($A52&amp;"|Apr",Lists!$J:$L,2,FALSE),0)*IFERROR(VLOOKUP($A52&amp;"|Apr",Lists!$J:$L,3,FALSE),0))</f>
        <v/>
      </c>
      <c r="X52" s="16">
        <f>IF(L52="","",L52*IFERROR(VLOOKUP($A52&amp;"|May",Lists!$J:$L,2,FALSE),0)*IFERROR(VLOOKUP($A52&amp;"|May",Lists!$J:$L,3,FALSE),0))</f>
        <v/>
      </c>
      <c r="Y52" s="16">
        <f>IF(M52="","",M52*IFERROR(VLOOKUP($A52&amp;"|Jun",Lists!$J:$L,2,FALSE),0)*IFERROR(VLOOKUP($A52&amp;"|Jun",Lists!$J:$L,3,FALSE),0))</f>
        <v/>
      </c>
      <c r="Z52" s="16">
        <f>IF(N52="","",N52*IFERROR(VLOOKUP($A52&amp;"|Jul",Lists!$J:$L,2,FALSE),0)*IFERROR(VLOOKUP($A52&amp;"|Jul",Lists!$J:$L,3,FALSE),0))</f>
        <v/>
      </c>
      <c r="AA52" s="16">
        <f>IF(O52="","",O52*IFERROR(VLOOKUP($A52&amp;"|Aug",Lists!$J:$L,2,FALSE),0)*IFERROR(VLOOKUP($A52&amp;"|Aug",Lists!$J:$L,3,FALSE),0))</f>
        <v/>
      </c>
      <c r="AB52" s="16">
        <f>IF(P52="","",P52*IFERROR(VLOOKUP($A52&amp;"|Sep",Lists!$J:$L,2,FALSE),0)*IFERROR(VLOOKUP($A52&amp;"|Sep",Lists!$J:$L,3,FALSE),0))</f>
        <v/>
      </c>
      <c r="AC52" s="16">
        <f>IF(Q52="","",Q52*IFERROR(VLOOKUP($A52&amp;"|Oct",Lists!$J:$L,2,FALSE),0)*IFERROR(VLOOKUP($A52&amp;"|Oct",Lists!$J:$L,3,FALSE),0))</f>
        <v/>
      </c>
      <c r="AD52" s="16">
        <f>IF(R52="","",R52*IFERROR(VLOOKUP($A52&amp;"|Nov",Lists!$J:$L,2,FALSE),0)*IFERROR(VLOOKUP($A52&amp;"|Nov",Lists!$J:$L,3,FALSE),0))</f>
        <v/>
      </c>
      <c r="AE52" s="16">
        <f>IF(S52="","",S52*IFERROR(VLOOKUP($A52&amp;"|Dec",Lists!$J:$L,2,FALSE),0)*IFERROR(VLOOKUP($A52&amp;"|Dec",Lists!$J:$L,3,FALSE),0))</f>
        <v/>
      </c>
    </row>
    <row r="53">
      <c r="T53" s="19">
        <f>IF($A53="","",VLOOKUP($A53,DevRateTable,3,FALSE))</f>
        <v/>
      </c>
      <c r="U53" s="16">
        <f>IF(I53="","",I53*IFERROR(VLOOKUP($A53&amp;"|Feb",Lists!$J:$L,2,FALSE),0)*IFERROR(VLOOKUP($A53&amp;"|Feb",Lists!$J:$L,3,FALSE),0))</f>
        <v/>
      </c>
      <c r="V53" s="16">
        <f>IF(J53="","",J53*IFERROR(VLOOKUP($A53&amp;"|Mar",Lists!$J:$L,2,FALSE),0)*IFERROR(VLOOKUP($A53&amp;"|Mar",Lists!$J:$L,3,FALSE),0))</f>
        <v/>
      </c>
      <c r="W53" s="16">
        <f>IF(K53="","",K53*IFERROR(VLOOKUP($A53&amp;"|Apr",Lists!$J:$L,2,FALSE),0)*IFERROR(VLOOKUP($A53&amp;"|Apr",Lists!$J:$L,3,FALSE),0))</f>
        <v/>
      </c>
      <c r="X53" s="16">
        <f>IF(L53="","",L53*IFERROR(VLOOKUP($A53&amp;"|May",Lists!$J:$L,2,FALSE),0)*IFERROR(VLOOKUP($A53&amp;"|May",Lists!$J:$L,3,FALSE),0))</f>
        <v/>
      </c>
      <c r="Y53" s="16">
        <f>IF(M53="","",M53*IFERROR(VLOOKUP($A53&amp;"|Jun",Lists!$J:$L,2,FALSE),0)*IFERROR(VLOOKUP($A53&amp;"|Jun",Lists!$J:$L,3,FALSE),0))</f>
        <v/>
      </c>
      <c r="Z53" s="16">
        <f>IF(N53="","",N53*IFERROR(VLOOKUP($A53&amp;"|Jul",Lists!$J:$L,2,FALSE),0)*IFERROR(VLOOKUP($A53&amp;"|Jul",Lists!$J:$L,3,FALSE),0))</f>
        <v/>
      </c>
      <c r="AA53" s="16">
        <f>IF(O53="","",O53*IFERROR(VLOOKUP($A53&amp;"|Aug",Lists!$J:$L,2,FALSE),0)*IFERROR(VLOOKUP($A53&amp;"|Aug",Lists!$J:$L,3,FALSE),0))</f>
        <v/>
      </c>
      <c r="AB53" s="16">
        <f>IF(P53="","",P53*IFERROR(VLOOKUP($A53&amp;"|Sep",Lists!$J:$L,2,FALSE),0)*IFERROR(VLOOKUP($A53&amp;"|Sep",Lists!$J:$L,3,FALSE),0))</f>
        <v/>
      </c>
      <c r="AC53" s="16">
        <f>IF(Q53="","",Q53*IFERROR(VLOOKUP($A53&amp;"|Oct",Lists!$J:$L,2,FALSE),0)*IFERROR(VLOOKUP($A53&amp;"|Oct",Lists!$J:$L,3,FALSE),0))</f>
        <v/>
      </c>
      <c r="AD53" s="16">
        <f>IF(R53="","",R53*IFERROR(VLOOKUP($A53&amp;"|Nov",Lists!$J:$L,2,FALSE),0)*IFERROR(VLOOKUP($A53&amp;"|Nov",Lists!$J:$L,3,FALSE),0))</f>
        <v/>
      </c>
      <c r="AE53" s="16">
        <f>IF(S53="","",S53*IFERROR(VLOOKUP($A53&amp;"|Dec",Lists!$J:$L,2,FALSE),0)*IFERROR(VLOOKUP($A53&amp;"|Dec",Lists!$J:$L,3,FALSE),0))</f>
        <v/>
      </c>
    </row>
    <row r="54">
      <c r="T54" s="19">
        <f>IF($A54="","",VLOOKUP($A54,DevRateTable,3,FALSE))</f>
        <v/>
      </c>
      <c r="U54" s="16">
        <f>IF(I54="","",I54*IFERROR(VLOOKUP($A54&amp;"|Feb",Lists!$J:$L,2,FALSE),0)*IFERROR(VLOOKUP($A54&amp;"|Feb",Lists!$J:$L,3,FALSE),0))</f>
        <v/>
      </c>
      <c r="V54" s="16">
        <f>IF(J54="","",J54*IFERROR(VLOOKUP($A54&amp;"|Mar",Lists!$J:$L,2,FALSE),0)*IFERROR(VLOOKUP($A54&amp;"|Mar",Lists!$J:$L,3,FALSE),0))</f>
        <v/>
      </c>
      <c r="W54" s="16">
        <f>IF(K54="","",K54*IFERROR(VLOOKUP($A54&amp;"|Apr",Lists!$J:$L,2,FALSE),0)*IFERROR(VLOOKUP($A54&amp;"|Apr",Lists!$J:$L,3,FALSE),0))</f>
        <v/>
      </c>
      <c r="X54" s="16">
        <f>IF(L54="","",L54*IFERROR(VLOOKUP($A54&amp;"|May",Lists!$J:$L,2,FALSE),0)*IFERROR(VLOOKUP($A54&amp;"|May",Lists!$J:$L,3,FALSE),0))</f>
        <v/>
      </c>
      <c r="Y54" s="16">
        <f>IF(M54="","",M54*IFERROR(VLOOKUP($A54&amp;"|Jun",Lists!$J:$L,2,FALSE),0)*IFERROR(VLOOKUP($A54&amp;"|Jun",Lists!$J:$L,3,FALSE),0))</f>
        <v/>
      </c>
      <c r="Z54" s="16">
        <f>IF(N54="","",N54*IFERROR(VLOOKUP($A54&amp;"|Jul",Lists!$J:$L,2,FALSE),0)*IFERROR(VLOOKUP($A54&amp;"|Jul",Lists!$J:$L,3,FALSE),0))</f>
        <v/>
      </c>
      <c r="AA54" s="16">
        <f>IF(O54="","",O54*IFERROR(VLOOKUP($A54&amp;"|Aug",Lists!$J:$L,2,FALSE),0)*IFERROR(VLOOKUP($A54&amp;"|Aug",Lists!$J:$L,3,FALSE),0))</f>
        <v/>
      </c>
      <c r="AB54" s="16">
        <f>IF(P54="","",P54*IFERROR(VLOOKUP($A54&amp;"|Sep",Lists!$J:$L,2,FALSE),0)*IFERROR(VLOOKUP($A54&amp;"|Sep",Lists!$J:$L,3,FALSE),0))</f>
        <v/>
      </c>
      <c r="AC54" s="16">
        <f>IF(Q54="","",Q54*IFERROR(VLOOKUP($A54&amp;"|Oct",Lists!$J:$L,2,FALSE),0)*IFERROR(VLOOKUP($A54&amp;"|Oct",Lists!$J:$L,3,FALSE),0))</f>
        <v/>
      </c>
      <c r="AD54" s="16">
        <f>IF(R54="","",R54*IFERROR(VLOOKUP($A54&amp;"|Nov",Lists!$J:$L,2,FALSE),0)*IFERROR(VLOOKUP($A54&amp;"|Nov",Lists!$J:$L,3,FALSE),0))</f>
        <v/>
      </c>
      <c r="AE54" s="16">
        <f>IF(S54="","",S54*IFERROR(VLOOKUP($A54&amp;"|Dec",Lists!$J:$L,2,FALSE),0)*IFERROR(VLOOKUP($A54&amp;"|Dec",Lists!$J:$L,3,FALSE),0))</f>
        <v/>
      </c>
    </row>
    <row r="55">
      <c r="T55" s="19">
        <f>IF($A55="","",VLOOKUP($A55,DevRateTable,3,FALSE))</f>
        <v/>
      </c>
      <c r="U55" s="16">
        <f>IF(I55="","",I55*IFERROR(VLOOKUP($A55&amp;"|Feb",Lists!$J:$L,2,FALSE),0)*IFERROR(VLOOKUP($A55&amp;"|Feb",Lists!$J:$L,3,FALSE),0))</f>
        <v/>
      </c>
      <c r="V55" s="16">
        <f>IF(J55="","",J55*IFERROR(VLOOKUP($A55&amp;"|Mar",Lists!$J:$L,2,FALSE),0)*IFERROR(VLOOKUP($A55&amp;"|Mar",Lists!$J:$L,3,FALSE),0))</f>
        <v/>
      </c>
      <c r="W55" s="16">
        <f>IF(K55="","",K55*IFERROR(VLOOKUP($A55&amp;"|Apr",Lists!$J:$L,2,FALSE),0)*IFERROR(VLOOKUP($A55&amp;"|Apr",Lists!$J:$L,3,FALSE),0))</f>
        <v/>
      </c>
      <c r="X55" s="16">
        <f>IF(L55="","",L55*IFERROR(VLOOKUP($A55&amp;"|May",Lists!$J:$L,2,FALSE),0)*IFERROR(VLOOKUP($A55&amp;"|May",Lists!$J:$L,3,FALSE),0))</f>
        <v/>
      </c>
      <c r="Y55" s="16">
        <f>IF(M55="","",M55*IFERROR(VLOOKUP($A55&amp;"|Jun",Lists!$J:$L,2,FALSE),0)*IFERROR(VLOOKUP($A55&amp;"|Jun",Lists!$J:$L,3,FALSE),0))</f>
        <v/>
      </c>
      <c r="Z55" s="16">
        <f>IF(N55="","",N55*IFERROR(VLOOKUP($A55&amp;"|Jul",Lists!$J:$L,2,FALSE),0)*IFERROR(VLOOKUP($A55&amp;"|Jul",Lists!$J:$L,3,FALSE),0))</f>
        <v/>
      </c>
      <c r="AA55" s="16">
        <f>IF(O55="","",O55*IFERROR(VLOOKUP($A55&amp;"|Aug",Lists!$J:$L,2,FALSE),0)*IFERROR(VLOOKUP($A55&amp;"|Aug",Lists!$J:$L,3,FALSE),0))</f>
        <v/>
      </c>
      <c r="AB55" s="16">
        <f>IF(P55="","",P55*IFERROR(VLOOKUP($A55&amp;"|Sep",Lists!$J:$L,2,FALSE),0)*IFERROR(VLOOKUP($A55&amp;"|Sep",Lists!$J:$L,3,FALSE),0))</f>
        <v/>
      </c>
      <c r="AC55" s="16">
        <f>IF(Q55="","",Q55*IFERROR(VLOOKUP($A55&amp;"|Oct",Lists!$J:$L,2,FALSE),0)*IFERROR(VLOOKUP($A55&amp;"|Oct",Lists!$J:$L,3,FALSE),0))</f>
        <v/>
      </c>
      <c r="AD55" s="16">
        <f>IF(R55="","",R55*IFERROR(VLOOKUP($A55&amp;"|Nov",Lists!$J:$L,2,FALSE),0)*IFERROR(VLOOKUP($A55&amp;"|Nov",Lists!$J:$L,3,FALSE),0))</f>
        <v/>
      </c>
      <c r="AE55" s="16">
        <f>IF(S55="","",S55*IFERROR(VLOOKUP($A55&amp;"|Dec",Lists!$J:$L,2,FALSE),0)*IFERROR(VLOOKUP($A55&amp;"|Dec",Lists!$J:$L,3,FALSE),0))</f>
        <v/>
      </c>
    </row>
    <row r="56">
      <c r="T56" s="19">
        <f>IF($A56="","",VLOOKUP($A56,DevRateTable,3,FALSE))</f>
        <v/>
      </c>
      <c r="U56" s="16">
        <f>IF(I56="","",I56*IFERROR(VLOOKUP($A56&amp;"|Feb",Lists!$J:$L,2,FALSE),0)*IFERROR(VLOOKUP($A56&amp;"|Feb",Lists!$J:$L,3,FALSE),0))</f>
        <v/>
      </c>
      <c r="V56" s="16">
        <f>IF(J56="","",J56*IFERROR(VLOOKUP($A56&amp;"|Mar",Lists!$J:$L,2,FALSE),0)*IFERROR(VLOOKUP($A56&amp;"|Mar",Lists!$J:$L,3,FALSE),0))</f>
        <v/>
      </c>
      <c r="W56" s="16">
        <f>IF(K56="","",K56*IFERROR(VLOOKUP($A56&amp;"|Apr",Lists!$J:$L,2,FALSE),0)*IFERROR(VLOOKUP($A56&amp;"|Apr",Lists!$J:$L,3,FALSE),0))</f>
        <v/>
      </c>
      <c r="X56" s="16">
        <f>IF(L56="","",L56*IFERROR(VLOOKUP($A56&amp;"|May",Lists!$J:$L,2,FALSE),0)*IFERROR(VLOOKUP($A56&amp;"|May",Lists!$J:$L,3,FALSE),0))</f>
        <v/>
      </c>
      <c r="Y56" s="16">
        <f>IF(M56="","",M56*IFERROR(VLOOKUP($A56&amp;"|Jun",Lists!$J:$L,2,FALSE),0)*IFERROR(VLOOKUP($A56&amp;"|Jun",Lists!$J:$L,3,FALSE),0))</f>
        <v/>
      </c>
      <c r="Z56" s="16">
        <f>IF(N56="","",N56*IFERROR(VLOOKUP($A56&amp;"|Jul",Lists!$J:$L,2,FALSE),0)*IFERROR(VLOOKUP($A56&amp;"|Jul",Lists!$J:$L,3,FALSE),0))</f>
        <v/>
      </c>
      <c r="AA56" s="16">
        <f>IF(O56="","",O56*IFERROR(VLOOKUP($A56&amp;"|Aug",Lists!$J:$L,2,FALSE),0)*IFERROR(VLOOKUP($A56&amp;"|Aug",Lists!$J:$L,3,FALSE),0))</f>
        <v/>
      </c>
      <c r="AB56" s="16">
        <f>IF(P56="","",P56*IFERROR(VLOOKUP($A56&amp;"|Sep",Lists!$J:$L,2,FALSE),0)*IFERROR(VLOOKUP($A56&amp;"|Sep",Lists!$J:$L,3,FALSE),0))</f>
        <v/>
      </c>
      <c r="AC56" s="16">
        <f>IF(Q56="","",Q56*IFERROR(VLOOKUP($A56&amp;"|Oct",Lists!$J:$L,2,FALSE),0)*IFERROR(VLOOKUP($A56&amp;"|Oct",Lists!$J:$L,3,FALSE),0))</f>
        <v/>
      </c>
      <c r="AD56" s="16">
        <f>IF(R56="","",R56*IFERROR(VLOOKUP($A56&amp;"|Nov",Lists!$J:$L,2,FALSE),0)*IFERROR(VLOOKUP($A56&amp;"|Nov",Lists!$J:$L,3,FALSE),0))</f>
        <v/>
      </c>
      <c r="AE56" s="16">
        <f>IF(S56="","",S56*IFERROR(VLOOKUP($A56&amp;"|Dec",Lists!$J:$L,2,FALSE),0)*IFERROR(VLOOKUP($A56&amp;"|Dec",Lists!$J:$L,3,FALSE),0))</f>
        <v/>
      </c>
    </row>
    <row r="57">
      <c r="T57" s="19">
        <f>IF($A57="","",VLOOKUP($A57,DevRateTable,3,FALSE))</f>
        <v/>
      </c>
      <c r="U57" s="16">
        <f>IF(I57="","",I57*IFERROR(VLOOKUP($A57&amp;"|Feb",Lists!$J:$L,2,FALSE),0)*IFERROR(VLOOKUP($A57&amp;"|Feb",Lists!$J:$L,3,FALSE),0))</f>
        <v/>
      </c>
      <c r="V57" s="16">
        <f>IF(J57="","",J57*IFERROR(VLOOKUP($A57&amp;"|Mar",Lists!$J:$L,2,FALSE),0)*IFERROR(VLOOKUP($A57&amp;"|Mar",Lists!$J:$L,3,FALSE),0))</f>
        <v/>
      </c>
      <c r="W57" s="16">
        <f>IF(K57="","",K57*IFERROR(VLOOKUP($A57&amp;"|Apr",Lists!$J:$L,2,FALSE),0)*IFERROR(VLOOKUP($A57&amp;"|Apr",Lists!$J:$L,3,FALSE),0))</f>
        <v/>
      </c>
      <c r="X57" s="16">
        <f>IF(L57="","",L57*IFERROR(VLOOKUP($A57&amp;"|May",Lists!$J:$L,2,FALSE),0)*IFERROR(VLOOKUP($A57&amp;"|May",Lists!$J:$L,3,FALSE),0))</f>
        <v/>
      </c>
      <c r="Y57" s="16">
        <f>IF(M57="","",M57*IFERROR(VLOOKUP($A57&amp;"|Jun",Lists!$J:$L,2,FALSE),0)*IFERROR(VLOOKUP($A57&amp;"|Jun",Lists!$J:$L,3,FALSE),0))</f>
        <v/>
      </c>
      <c r="Z57" s="16">
        <f>IF(N57="","",N57*IFERROR(VLOOKUP($A57&amp;"|Jul",Lists!$J:$L,2,FALSE),0)*IFERROR(VLOOKUP($A57&amp;"|Jul",Lists!$J:$L,3,FALSE),0))</f>
        <v/>
      </c>
      <c r="AA57" s="16">
        <f>IF(O57="","",O57*IFERROR(VLOOKUP($A57&amp;"|Aug",Lists!$J:$L,2,FALSE),0)*IFERROR(VLOOKUP($A57&amp;"|Aug",Lists!$J:$L,3,FALSE),0))</f>
        <v/>
      </c>
      <c r="AB57" s="16">
        <f>IF(P57="","",P57*IFERROR(VLOOKUP($A57&amp;"|Sep",Lists!$J:$L,2,FALSE),0)*IFERROR(VLOOKUP($A57&amp;"|Sep",Lists!$J:$L,3,FALSE),0))</f>
        <v/>
      </c>
      <c r="AC57" s="16">
        <f>IF(Q57="","",Q57*IFERROR(VLOOKUP($A57&amp;"|Oct",Lists!$J:$L,2,FALSE),0)*IFERROR(VLOOKUP($A57&amp;"|Oct",Lists!$J:$L,3,FALSE),0))</f>
        <v/>
      </c>
      <c r="AD57" s="16">
        <f>IF(R57="","",R57*IFERROR(VLOOKUP($A57&amp;"|Nov",Lists!$J:$L,2,FALSE),0)*IFERROR(VLOOKUP($A57&amp;"|Nov",Lists!$J:$L,3,FALSE),0))</f>
        <v/>
      </c>
      <c r="AE57" s="16">
        <f>IF(S57="","",S57*IFERROR(VLOOKUP($A57&amp;"|Dec",Lists!$J:$L,2,FALSE),0)*IFERROR(VLOOKUP($A57&amp;"|Dec",Lists!$J:$L,3,FALSE),0))</f>
        <v/>
      </c>
    </row>
    <row r="58">
      <c r="T58" s="19">
        <f>IF($A58="","",VLOOKUP($A58,DevRateTable,3,FALSE))</f>
        <v/>
      </c>
      <c r="U58" s="16">
        <f>IF(I58="","",I58*IFERROR(VLOOKUP($A58&amp;"|Feb",Lists!$J:$L,2,FALSE),0)*IFERROR(VLOOKUP($A58&amp;"|Feb",Lists!$J:$L,3,FALSE),0))</f>
        <v/>
      </c>
      <c r="V58" s="16">
        <f>IF(J58="","",J58*IFERROR(VLOOKUP($A58&amp;"|Mar",Lists!$J:$L,2,FALSE),0)*IFERROR(VLOOKUP($A58&amp;"|Mar",Lists!$J:$L,3,FALSE),0))</f>
        <v/>
      </c>
      <c r="W58" s="16">
        <f>IF(K58="","",K58*IFERROR(VLOOKUP($A58&amp;"|Apr",Lists!$J:$L,2,FALSE),0)*IFERROR(VLOOKUP($A58&amp;"|Apr",Lists!$J:$L,3,FALSE),0))</f>
        <v/>
      </c>
      <c r="X58" s="16">
        <f>IF(L58="","",L58*IFERROR(VLOOKUP($A58&amp;"|May",Lists!$J:$L,2,FALSE),0)*IFERROR(VLOOKUP($A58&amp;"|May",Lists!$J:$L,3,FALSE),0))</f>
        <v/>
      </c>
      <c r="Y58" s="16">
        <f>IF(M58="","",M58*IFERROR(VLOOKUP($A58&amp;"|Jun",Lists!$J:$L,2,FALSE),0)*IFERROR(VLOOKUP($A58&amp;"|Jun",Lists!$J:$L,3,FALSE),0))</f>
        <v/>
      </c>
      <c r="Z58" s="16">
        <f>IF(N58="","",N58*IFERROR(VLOOKUP($A58&amp;"|Jul",Lists!$J:$L,2,FALSE),0)*IFERROR(VLOOKUP($A58&amp;"|Jul",Lists!$J:$L,3,FALSE),0))</f>
        <v/>
      </c>
      <c r="AA58" s="16">
        <f>IF(O58="","",O58*IFERROR(VLOOKUP($A58&amp;"|Aug",Lists!$J:$L,2,FALSE),0)*IFERROR(VLOOKUP($A58&amp;"|Aug",Lists!$J:$L,3,FALSE),0))</f>
        <v/>
      </c>
      <c r="AB58" s="16">
        <f>IF(P58="","",P58*IFERROR(VLOOKUP($A58&amp;"|Sep",Lists!$J:$L,2,FALSE),0)*IFERROR(VLOOKUP($A58&amp;"|Sep",Lists!$J:$L,3,FALSE),0))</f>
        <v/>
      </c>
      <c r="AC58" s="16">
        <f>IF(Q58="","",Q58*IFERROR(VLOOKUP($A58&amp;"|Oct",Lists!$J:$L,2,FALSE),0)*IFERROR(VLOOKUP($A58&amp;"|Oct",Lists!$J:$L,3,FALSE),0))</f>
        <v/>
      </c>
      <c r="AD58" s="16">
        <f>IF(R58="","",R58*IFERROR(VLOOKUP($A58&amp;"|Nov",Lists!$J:$L,2,FALSE),0)*IFERROR(VLOOKUP($A58&amp;"|Nov",Lists!$J:$L,3,FALSE),0))</f>
        <v/>
      </c>
      <c r="AE58" s="16">
        <f>IF(S58="","",S58*IFERROR(VLOOKUP($A58&amp;"|Dec",Lists!$J:$L,2,FALSE),0)*IFERROR(VLOOKUP($A58&amp;"|Dec",Lists!$J:$L,3,FALSE),0))</f>
        <v/>
      </c>
    </row>
    <row r="59">
      <c r="T59" s="19">
        <f>IF($A59="","",VLOOKUP($A59,DevRateTable,3,FALSE))</f>
        <v/>
      </c>
      <c r="U59" s="16">
        <f>IF(I59="","",I59*IFERROR(VLOOKUP($A59&amp;"|Feb",Lists!$J:$L,2,FALSE),0)*IFERROR(VLOOKUP($A59&amp;"|Feb",Lists!$J:$L,3,FALSE),0))</f>
        <v/>
      </c>
      <c r="V59" s="16">
        <f>IF(J59="","",J59*IFERROR(VLOOKUP($A59&amp;"|Mar",Lists!$J:$L,2,FALSE),0)*IFERROR(VLOOKUP($A59&amp;"|Mar",Lists!$J:$L,3,FALSE),0))</f>
        <v/>
      </c>
      <c r="W59" s="16">
        <f>IF(K59="","",K59*IFERROR(VLOOKUP($A59&amp;"|Apr",Lists!$J:$L,2,FALSE),0)*IFERROR(VLOOKUP($A59&amp;"|Apr",Lists!$J:$L,3,FALSE),0))</f>
        <v/>
      </c>
      <c r="X59" s="16">
        <f>IF(L59="","",L59*IFERROR(VLOOKUP($A59&amp;"|May",Lists!$J:$L,2,FALSE),0)*IFERROR(VLOOKUP($A59&amp;"|May",Lists!$J:$L,3,FALSE),0))</f>
        <v/>
      </c>
      <c r="Y59" s="16">
        <f>IF(M59="","",M59*IFERROR(VLOOKUP($A59&amp;"|Jun",Lists!$J:$L,2,FALSE),0)*IFERROR(VLOOKUP($A59&amp;"|Jun",Lists!$J:$L,3,FALSE),0))</f>
        <v/>
      </c>
      <c r="Z59" s="16">
        <f>IF(N59="","",N59*IFERROR(VLOOKUP($A59&amp;"|Jul",Lists!$J:$L,2,FALSE),0)*IFERROR(VLOOKUP($A59&amp;"|Jul",Lists!$J:$L,3,FALSE),0))</f>
        <v/>
      </c>
      <c r="AA59" s="16">
        <f>IF(O59="","",O59*IFERROR(VLOOKUP($A59&amp;"|Aug",Lists!$J:$L,2,FALSE),0)*IFERROR(VLOOKUP($A59&amp;"|Aug",Lists!$J:$L,3,FALSE),0))</f>
        <v/>
      </c>
      <c r="AB59" s="16">
        <f>IF(P59="","",P59*IFERROR(VLOOKUP($A59&amp;"|Sep",Lists!$J:$L,2,FALSE),0)*IFERROR(VLOOKUP($A59&amp;"|Sep",Lists!$J:$L,3,FALSE),0))</f>
        <v/>
      </c>
      <c r="AC59" s="16">
        <f>IF(Q59="","",Q59*IFERROR(VLOOKUP($A59&amp;"|Oct",Lists!$J:$L,2,FALSE),0)*IFERROR(VLOOKUP($A59&amp;"|Oct",Lists!$J:$L,3,FALSE),0))</f>
        <v/>
      </c>
      <c r="AD59" s="16">
        <f>IF(R59="","",R59*IFERROR(VLOOKUP($A59&amp;"|Nov",Lists!$J:$L,2,FALSE),0)*IFERROR(VLOOKUP($A59&amp;"|Nov",Lists!$J:$L,3,FALSE),0))</f>
        <v/>
      </c>
      <c r="AE59" s="16">
        <f>IF(S59="","",S59*IFERROR(VLOOKUP($A59&amp;"|Dec",Lists!$J:$L,2,FALSE),0)*IFERROR(VLOOKUP($A59&amp;"|Dec",Lists!$J:$L,3,FALSE),0))</f>
        <v/>
      </c>
    </row>
    <row r="60">
      <c r="T60" s="19">
        <f>IF($A60="","",VLOOKUP($A60,DevRateTable,3,FALSE))</f>
        <v/>
      </c>
      <c r="U60" s="16">
        <f>IF(I60="","",I60*IFERROR(VLOOKUP($A60&amp;"|Feb",Lists!$J:$L,2,FALSE),0)*IFERROR(VLOOKUP($A60&amp;"|Feb",Lists!$J:$L,3,FALSE),0))</f>
        <v/>
      </c>
      <c r="V60" s="16">
        <f>IF(J60="","",J60*IFERROR(VLOOKUP($A60&amp;"|Mar",Lists!$J:$L,2,FALSE),0)*IFERROR(VLOOKUP($A60&amp;"|Mar",Lists!$J:$L,3,FALSE),0))</f>
        <v/>
      </c>
      <c r="W60" s="16">
        <f>IF(K60="","",K60*IFERROR(VLOOKUP($A60&amp;"|Apr",Lists!$J:$L,2,FALSE),0)*IFERROR(VLOOKUP($A60&amp;"|Apr",Lists!$J:$L,3,FALSE),0))</f>
        <v/>
      </c>
      <c r="X60" s="16">
        <f>IF(L60="","",L60*IFERROR(VLOOKUP($A60&amp;"|May",Lists!$J:$L,2,FALSE),0)*IFERROR(VLOOKUP($A60&amp;"|May",Lists!$J:$L,3,FALSE),0))</f>
        <v/>
      </c>
      <c r="Y60" s="16">
        <f>IF(M60="","",M60*IFERROR(VLOOKUP($A60&amp;"|Jun",Lists!$J:$L,2,FALSE),0)*IFERROR(VLOOKUP($A60&amp;"|Jun",Lists!$J:$L,3,FALSE),0))</f>
        <v/>
      </c>
      <c r="Z60" s="16">
        <f>IF(N60="","",N60*IFERROR(VLOOKUP($A60&amp;"|Jul",Lists!$J:$L,2,FALSE),0)*IFERROR(VLOOKUP($A60&amp;"|Jul",Lists!$J:$L,3,FALSE),0))</f>
        <v/>
      </c>
      <c r="AA60" s="16">
        <f>IF(O60="","",O60*IFERROR(VLOOKUP($A60&amp;"|Aug",Lists!$J:$L,2,FALSE),0)*IFERROR(VLOOKUP($A60&amp;"|Aug",Lists!$J:$L,3,FALSE),0))</f>
        <v/>
      </c>
      <c r="AB60" s="16">
        <f>IF(P60="","",P60*IFERROR(VLOOKUP($A60&amp;"|Sep",Lists!$J:$L,2,FALSE),0)*IFERROR(VLOOKUP($A60&amp;"|Sep",Lists!$J:$L,3,FALSE),0))</f>
        <v/>
      </c>
      <c r="AC60" s="16">
        <f>IF(Q60="","",Q60*IFERROR(VLOOKUP($A60&amp;"|Oct",Lists!$J:$L,2,FALSE),0)*IFERROR(VLOOKUP($A60&amp;"|Oct",Lists!$J:$L,3,FALSE),0))</f>
        <v/>
      </c>
      <c r="AD60" s="16">
        <f>IF(R60="","",R60*IFERROR(VLOOKUP($A60&amp;"|Nov",Lists!$J:$L,2,FALSE),0)*IFERROR(VLOOKUP($A60&amp;"|Nov",Lists!$J:$L,3,FALSE),0))</f>
        <v/>
      </c>
      <c r="AE60" s="16">
        <f>IF(S60="","",S60*IFERROR(VLOOKUP($A60&amp;"|Dec",Lists!$J:$L,2,FALSE),0)*IFERROR(VLOOKUP($A60&amp;"|Dec",Lists!$J:$L,3,FALSE),0))</f>
        <v/>
      </c>
    </row>
    <row r="61">
      <c r="T61" s="19">
        <f>IF($A61="","",VLOOKUP($A61,DevRateTable,3,FALSE))</f>
        <v/>
      </c>
      <c r="U61" s="16">
        <f>IF(I61="","",I61*IFERROR(VLOOKUP($A61&amp;"|Feb",Lists!$J:$L,2,FALSE),0)*IFERROR(VLOOKUP($A61&amp;"|Feb",Lists!$J:$L,3,FALSE),0))</f>
        <v/>
      </c>
      <c r="V61" s="16">
        <f>IF(J61="","",J61*IFERROR(VLOOKUP($A61&amp;"|Mar",Lists!$J:$L,2,FALSE),0)*IFERROR(VLOOKUP($A61&amp;"|Mar",Lists!$J:$L,3,FALSE),0))</f>
        <v/>
      </c>
      <c r="W61" s="16">
        <f>IF(K61="","",K61*IFERROR(VLOOKUP($A61&amp;"|Apr",Lists!$J:$L,2,FALSE),0)*IFERROR(VLOOKUP($A61&amp;"|Apr",Lists!$J:$L,3,FALSE),0))</f>
        <v/>
      </c>
      <c r="X61" s="16">
        <f>IF(L61="","",L61*IFERROR(VLOOKUP($A61&amp;"|May",Lists!$J:$L,2,FALSE),0)*IFERROR(VLOOKUP($A61&amp;"|May",Lists!$J:$L,3,FALSE),0))</f>
        <v/>
      </c>
      <c r="Y61" s="16">
        <f>IF(M61="","",M61*IFERROR(VLOOKUP($A61&amp;"|Jun",Lists!$J:$L,2,FALSE),0)*IFERROR(VLOOKUP($A61&amp;"|Jun",Lists!$J:$L,3,FALSE),0))</f>
        <v/>
      </c>
      <c r="Z61" s="16">
        <f>IF(N61="","",N61*IFERROR(VLOOKUP($A61&amp;"|Jul",Lists!$J:$L,2,FALSE),0)*IFERROR(VLOOKUP($A61&amp;"|Jul",Lists!$J:$L,3,FALSE),0))</f>
        <v/>
      </c>
      <c r="AA61" s="16">
        <f>IF(O61="","",O61*IFERROR(VLOOKUP($A61&amp;"|Aug",Lists!$J:$L,2,FALSE),0)*IFERROR(VLOOKUP($A61&amp;"|Aug",Lists!$J:$L,3,FALSE),0))</f>
        <v/>
      </c>
      <c r="AB61" s="16">
        <f>IF(P61="","",P61*IFERROR(VLOOKUP($A61&amp;"|Sep",Lists!$J:$L,2,FALSE),0)*IFERROR(VLOOKUP($A61&amp;"|Sep",Lists!$J:$L,3,FALSE),0))</f>
        <v/>
      </c>
      <c r="AC61" s="16">
        <f>IF(Q61="","",Q61*IFERROR(VLOOKUP($A61&amp;"|Oct",Lists!$J:$L,2,FALSE),0)*IFERROR(VLOOKUP($A61&amp;"|Oct",Lists!$J:$L,3,FALSE),0))</f>
        <v/>
      </c>
      <c r="AD61" s="16">
        <f>IF(R61="","",R61*IFERROR(VLOOKUP($A61&amp;"|Nov",Lists!$J:$L,2,FALSE),0)*IFERROR(VLOOKUP($A61&amp;"|Nov",Lists!$J:$L,3,FALSE),0))</f>
        <v/>
      </c>
      <c r="AE61" s="16">
        <f>IF(S61="","",S61*IFERROR(VLOOKUP($A61&amp;"|Dec",Lists!$J:$L,2,FALSE),0)*IFERROR(VLOOKUP($A61&amp;"|Dec",Lists!$J:$L,3,FALSE),0))</f>
        <v/>
      </c>
    </row>
    <row r="62">
      <c r="T62" s="19">
        <f>IF($A62="","",VLOOKUP($A62,DevRateTable,3,FALSE))</f>
        <v/>
      </c>
      <c r="U62" s="16">
        <f>IF(I62="","",I62*IFERROR(VLOOKUP($A62&amp;"|Feb",Lists!$J:$L,2,FALSE),0)*IFERROR(VLOOKUP($A62&amp;"|Feb",Lists!$J:$L,3,FALSE),0))</f>
        <v/>
      </c>
      <c r="V62" s="16">
        <f>IF(J62="","",J62*IFERROR(VLOOKUP($A62&amp;"|Mar",Lists!$J:$L,2,FALSE),0)*IFERROR(VLOOKUP($A62&amp;"|Mar",Lists!$J:$L,3,FALSE),0))</f>
        <v/>
      </c>
      <c r="W62" s="16">
        <f>IF(K62="","",K62*IFERROR(VLOOKUP($A62&amp;"|Apr",Lists!$J:$L,2,FALSE),0)*IFERROR(VLOOKUP($A62&amp;"|Apr",Lists!$J:$L,3,FALSE),0))</f>
        <v/>
      </c>
      <c r="X62" s="16">
        <f>IF(L62="","",L62*IFERROR(VLOOKUP($A62&amp;"|May",Lists!$J:$L,2,FALSE),0)*IFERROR(VLOOKUP($A62&amp;"|May",Lists!$J:$L,3,FALSE),0))</f>
        <v/>
      </c>
      <c r="Y62" s="16">
        <f>IF(M62="","",M62*IFERROR(VLOOKUP($A62&amp;"|Jun",Lists!$J:$L,2,FALSE),0)*IFERROR(VLOOKUP($A62&amp;"|Jun",Lists!$J:$L,3,FALSE),0))</f>
        <v/>
      </c>
      <c r="Z62" s="16">
        <f>IF(N62="","",N62*IFERROR(VLOOKUP($A62&amp;"|Jul",Lists!$J:$L,2,FALSE),0)*IFERROR(VLOOKUP($A62&amp;"|Jul",Lists!$J:$L,3,FALSE),0))</f>
        <v/>
      </c>
      <c r="AA62" s="16">
        <f>IF(O62="","",O62*IFERROR(VLOOKUP($A62&amp;"|Aug",Lists!$J:$L,2,FALSE),0)*IFERROR(VLOOKUP($A62&amp;"|Aug",Lists!$J:$L,3,FALSE),0))</f>
        <v/>
      </c>
      <c r="AB62" s="16">
        <f>IF(P62="","",P62*IFERROR(VLOOKUP($A62&amp;"|Sep",Lists!$J:$L,2,FALSE),0)*IFERROR(VLOOKUP($A62&amp;"|Sep",Lists!$J:$L,3,FALSE),0))</f>
        <v/>
      </c>
      <c r="AC62" s="16">
        <f>IF(Q62="","",Q62*IFERROR(VLOOKUP($A62&amp;"|Oct",Lists!$J:$L,2,FALSE),0)*IFERROR(VLOOKUP($A62&amp;"|Oct",Lists!$J:$L,3,FALSE),0))</f>
        <v/>
      </c>
      <c r="AD62" s="16">
        <f>IF(R62="","",R62*IFERROR(VLOOKUP($A62&amp;"|Nov",Lists!$J:$L,2,FALSE),0)*IFERROR(VLOOKUP($A62&amp;"|Nov",Lists!$J:$L,3,FALSE),0))</f>
        <v/>
      </c>
      <c r="AE62" s="16">
        <f>IF(S62="","",S62*IFERROR(VLOOKUP($A62&amp;"|Dec",Lists!$J:$L,2,FALSE),0)*IFERROR(VLOOKUP($A62&amp;"|Dec",Lists!$J:$L,3,FALSE),0))</f>
        <v/>
      </c>
    </row>
    <row r="63">
      <c r="T63" s="19">
        <f>IF($A63="","",VLOOKUP($A63,DevRateTable,3,FALSE))</f>
        <v/>
      </c>
      <c r="U63" s="16">
        <f>IF(I63="","",I63*IFERROR(VLOOKUP($A63&amp;"|Feb",Lists!$J:$L,2,FALSE),0)*IFERROR(VLOOKUP($A63&amp;"|Feb",Lists!$J:$L,3,FALSE),0))</f>
        <v/>
      </c>
      <c r="V63" s="16">
        <f>IF(J63="","",J63*IFERROR(VLOOKUP($A63&amp;"|Mar",Lists!$J:$L,2,FALSE),0)*IFERROR(VLOOKUP($A63&amp;"|Mar",Lists!$J:$L,3,FALSE),0))</f>
        <v/>
      </c>
      <c r="W63" s="16">
        <f>IF(K63="","",K63*IFERROR(VLOOKUP($A63&amp;"|Apr",Lists!$J:$L,2,FALSE),0)*IFERROR(VLOOKUP($A63&amp;"|Apr",Lists!$J:$L,3,FALSE),0))</f>
        <v/>
      </c>
      <c r="X63" s="16">
        <f>IF(L63="","",L63*IFERROR(VLOOKUP($A63&amp;"|May",Lists!$J:$L,2,FALSE),0)*IFERROR(VLOOKUP($A63&amp;"|May",Lists!$J:$L,3,FALSE),0))</f>
        <v/>
      </c>
      <c r="Y63" s="16">
        <f>IF(M63="","",M63*IFERROR(VLOOKUP($A63&amp;"|Jun",Lists!$J:$L,2,FALSE),0)*IFERROR(VLOOKUP($A63&amp;"|Jun",Lists!$J:$L,3,FALSE),0))</f>
        <v/>
      </c>
      <c r="Z63" s="16">
        <f>IF(N63="","",N63*IFERROR(VLOOKUP($A63&amp;"|Jul",Lists!$J:$L,2,FALSE),0)*IFERROR(VLOOKUP($A63&amp;"|Jul",Lists!$J:$L,3,FALSE),0))</f>
        <v/>
      </c>
      <c r="AA63" s="16">
        <f>IF(O63="","",O63*IFERROR(VLOOKUP($A63&amp;"|Aug",Lists!$J:$L,2,FALSE),0)*IFERROR(VLOOKUP($A63&amp;"|Aug",Lists!$J:$L,3,FALSE),0))</f>
        <v/>
      </c>
      <c r="AB63" s="16">
        <f>IF(P63="","",P63*IFERROR(VLOOKUP($A63&amp;"|Sep",Lists!$J:$L,2,FALSE),0)*IFERROR(VLOOKUP($A63&amp;"|Sep",Lists!$J:$L,3,FALSE),0))</f>
        <v/>
      </c>
      <c r="AC63" s="16">
        <f>IF(Q63="","",Q63*IFERROR(VLOOKUP($A63&amp;"|Oct",Lists!$J:$L,2,FALSE),0)*IFERROR(VLOOKUP($A63&amp;"|Oct",Lists!$J:$L,3,FALSE),0))</f>
        <v/>
      </c>
      <c r="AD63" s="16">
        <f>IF(R63="","",R63*IFERROR(VLOOKUP($A63&amp;"|Nov",Lists!$J:$L,2,FALSE),0)*IFERROR(VLOOKUP($A63&amp;"|Nov",Lists!$J:$L,3,FALSE),0))</f>
        <v/>
      </c>
      <c r="AE63" s="16">
        <f>IF(S63="","",S63*IFERROR(VLOOKUP($A63&amp;"|Dec",Lists!$J:$L,2,FALSE),0)*IFERROR(VLOOKUP($A63&amp;"|Dec",Lists!$J:$L,3,FALSE),0))</f>
        <v/>
      </c>
    </row>
    <row r="64">
      <c r="T64" s="19">
        <f>IF($A64="","",VLOOKUP($A64,DevRateTable,3,FALSE))</f>
        <v/>
      </c>
      <c r="U64" s="16">
        <f>IF(I64="","",I64*IFERROR(VLOOKUP($A64&amp;"|Feb",Lists!$J:$L,2,FALSE),0)*IFERROR(VLOOKUP($A64&amp;"|Feb",Lists!$J:$L,3,FALSE),0))</f>
        <v/>
      </c>
      <c r="V64" s="16">
        <f>IF(J64="","",J64*IFERROR(VLOOKUP($A64&amp;"|Mar",Lists!$J:$L,2,FALSE),0)*IFERROR(VLOOKUP($A64&amp;"|Mar",Lists!$J:$L,3,FALSE),0))</f>
        <v/>
      </c>
      <c r="W64" s="16">
        <f>IF(K64="","",K64*IFERROR(VLOOKUP($A64&amp;"|Apr",Lists!$J:$L,2,FALSE),0)*IFERROR(VLOOKUP($A64&amp;"|Apr",Lists!$J:$L,3,FALSE),0))</f>
        <v/>
      </c>
      <c r="X64" s="16">
        <f>IF(L64="","",L64*IFERROR(VLOOKUP($A64&amp;"|May",Lists!$J:$L,2,FALSE),0)*IFERROR(VLOOKUP($A64&amp;"|May",Lists!$J:$L,3,FALSE),0))</f>
        <v/>
      </c>
      <c r="Y64" s="16">
        <f>IF(M64="","",M64*IFERROR(VLOOKUP($A64&amp;"|Jun",Lists!$J:$L,2,FALSE),0)*IFERROR(VLOOKUP($A64&amp;"|Jun",Lists!$J:$L,3,FALSE),0))</f>
        <v/>
      </c>
      <c r="Z64" s="16">
        <f>IF(N64="","",N64*IFERROR(VLOOKUP($A64&amp;"|Jul",Lists!$J:$L,2,FALSE),0)*IFERROR(VLOOKUP($A64&amp;"|Jul",Lists!$J:$L,3,FALSE),0))</f>
        <v/>
      </c>
      <c r="AA64" s="16">
        <f>IF(O64="","",O64*IFERROR(VLOOKUP($A64&amp;"|Aug",Lists!$J:$L,2,FALSE),0)*IFERROR(VLOOKUP($A64&amp;"|Aug",Lists!$J:$L,3,FALSE),0))</f>
        <v/>
      </c>
      <c r="AB64" s="16">
        <f>IF(P64="","",P64*IFERROR(VLOOKUP($A64&amp;"|Sep",Lists!$J:$L,2,FALSE),0)*IFERROR(VLOOKUP($A64&amp;"|Sep",Lists!$J:$L,3,FALSE),0))</f>
        <v/>
      </c>
      <c r="AC64" s="16">
        <f>IF(Q64="","",Q64*IFERROR(VLOOKUP($A64&amp;"|Oct",Lists!$J:$L,2,FALSE),0)*IFERROR(VLOOKUP($A64&amp;"|Oct",Lists!$J:$L,3,FALSE),0))</f>
        <v/>
      </c>
      <c r="AD64" s="16">
        <f>IF(R64="","",R64*IFERROR(VLOOKUP($A64&amp;"|Nov",Lists!$J:$L,2,FALSE),0)*IFERROR(VLOOKUP($A64&amp;"|Nov",Lists!$J:$L,3,FALSE),0))</f>
        <v/>
      </c>
      <c r="AE64" s="16">
        <f>IF(S64="","",S64*IFERROR(VLOOKUP($A64&amp;"|Dec",Lists!$J:$L,2,FALSE),0)*IFERROR(VLOOKUP($A64&amp;"|Dec",Lists!$J:$L,3,FALSE),0))</f>
        <v/>
      </c>
    </row>
    <row r="65">
      <c r="T65" s="19">
        <f>IF($A65="","",VLOOKUP($A65,DevRateTable,3,FALSE))</f>
        <v/>
      </c>
      <c r="U65" s="16">
        <f>IF(I65="","",I65*IFERROR(VLOOKUP($A65&amp;"|Feb",Lists!$J:$L,2,FALSE),0)*IFERROR(VLOOKUP($A65&amp;"|Feb",Lists!$J:$L,3,FALSE),0))</f>
        <v/>
      </c>
      <c r="V65" s="16">
        <f>IF(J65="","",J65*IFERROR(VLOOKUP($A65&amp;"|Mar",Lists!$J:$L,2,FALSE),0)*IFERROR(VLOOKUP($A65&amp;"|Mar",Lists!$J:$L,3,FALSE),0))</f>
        <v/>
      </c>
      <c r="W65" s="16">
        <f>IF(K65="","",K65*IFERROR(VLOOKUP($A65&amp;"|Apr",Lists!$J:$L,2,FALSE),0)*IFERROR(VLOOKUP($A65&amp;"|Apr",Lists!$J:$L,3,FALSE),0))</f>
        <v/>
      </c>
      <c r="X65" s="16">
        <f>IF(L65="","",L65*IFERROR(VLOOKUP($A65&amp;"|May",Lists!$J:$L,2,FALSE),0)*IFERROR(VLOOKUP($A65&amp;"|May",Lists!$J:$L,3,FALSE),0))</f>
        <v/>
      </c>
      <c r="Y65" s="16">
        <f>IF(M65="","",M65*IFERROR(VLOOKUP($A65&amp;"|Jun",Lists!$J:$L,2,FALSE),0)*IFERROR(VLOOKUP($A65&amp;"|Jun",Lists!$J:$L,3,FALSE),0))</f>
        <v/>
      </c>
      <c r="Z65" s="16">
        <f>IF(N65="","",N65*IFERROR(VLOOKUP($A65&amp;"|Jul",Lists!$J:$L,2,FALSE),0)*IFERROR(VLOOKUP($A65&amp;"|Jul",Lists!$J:$L,3,FALSE),0))</f>
        <v/>
      </c>
      <c r="AA65" s="16">
        <f>IF(O65="","",O65*IFERROR(VLOOKUP($A65&amp;"|Aug",Lists!$J:$L,2,FALSE),0)*IFERROR(VLOOKUP($A65&amp;"|Aug",Lists!$J:$L,3,FALSE),0))</f>
        <v/>
      </c>
      <c r="AB65" s="16">
        <f>IF(P65="","",P65*IFERROR(VLOOKUP($A65&amp;"|Sep",Lists!$J:$L,2,FALSE),0)*IFERROR(VLOOKUP($A65&amp;"|Sep",Lists!$J:$L,3,FALSE),0))</f>
        <v/>
      </c>
      <c r="AC65" s="16">
        <f>IF(Q65="","",Q65*IFERROR(VLOOKUP($A65&amp;"|Oct",Lists!$J:$L,2,FALSE),0)*IFERROR(VLOOKUP($A65&amp;"|Oct",Lists!$J:$L,3,FALSE),0))</f>
        <v/>
      </c>
      <c r="AD65" s="16">
        <f>IF(R65="","",R65*IFERROR(VLOOKUP($A65&amp;"|Nov",Lists!$J:$L,2,FALSE),0)*IFERROR(VLOOKUP($A65&amp;"|Nov",Lists!$J:$L,3,FALSE),0))</f>
        <v/>
      </c>
      <c r="AE65" s="16">
        <f>IF(S65="","",S65*IFERROR(VLOOKUP($A65&amp;"|Dec",Lists!$J:$L,2,FALSE),0)*IFERROR(VLOOKUP($A65&amp;"|Dec",Lists!$J:$L,3,FALSE),0))</f>
        <v/>
      </c>
    </row>
    <row r="66">
      <c r="T66" s="19">
        <f>IF($A66="","",VLOOKUP($A66,DevRateTable,3,FALSE))</f>
        <v/>
      </c>
      <c r="U66" s="16">
        <f>IF(I66="","",I66*IFERROR(VLOOKUP($A66&amp;"|Feb",Lists!$J:$L,2,FALSE),0)*IFERROR(VLOOKUP($A66&amp;"|Feb",Lists!$J:$L,3,FALSE),0))</f>
        <v/>
      </c>
      <c r="V66" s="16">
        <f>IF(J66="","",J66*IFERROR(VLOOKUP($A66&amp;"|Mar",Lists!$J:$L,2,FALSE),0)*IFERROR(VLOOKUP($A66&amp;"|Mar",Lists!$J:$L,3,FALSE),0))</f>
        <v/>
      </c>
      <c r="W66" s="16">
        <f>IF(K66="","",K66*IFERROR(VLOOKUP($A66&amp;"|Apr",Lists!$J:$L,2,FALSE),0)*IFERROR(VLOOKUP($A66&amp;"|Apr",Lists!$J:$L,3,FALSE),0))</f>
        <v/>
      </c>
      <c r="X66" s="16">
        <f>IF(L66="","",L66*IFERROR(VLOOKUP($A66&amp;"|May",Lists!$J:$L,2,FALSE),0)*IFERROR(VLOOKUP($A66&amp;"|May",Lists!$J:$L,3,FALSE),0))</f>
        <v/>
      </c>
      <c r="Y66" s="16">
        <f>IF(M66="","",M66*IFERROR(VLOOKUP($A66&amp;"|Jun",Lists!$J:$L,2,FALSE),0)*IFERROR(VLOOKUP($A66&amp;"|Jun",Lists!$J:$L,3,FALSE),0))</f>
        <v/>
      </c>
      <c r="Z66" s="16">
        <f>IF(N66="","",N66*IFERROR(VLOOKUP($A66&amp;"|Jul",Lists!$J:$L,2,FALSE),0)*IFERROR(VLOOKUP($A66&amp;"|Jul",Lists!$J:$L,3,FALSE),0))</f>
        <v/>
      </c>
      <c r="AA66" s="16">
        <f>IF(O66="","",O66*IFERROR(VLOOKUP($A66&amp;"|Aug",Lists!$J:$L,2,FALSE),0)*IFERROR(VLOOKUP($A66&amp;"|Aug",Lists!$J:$L,3,FALSE),0))</f>
        <v/>
      </c>
      <c r="AB66" s="16">
        <f>IF(P66="","",P66*IFERROR(VLOOKUP($A66&amp;"|Sep",Lists!$J:$L,2,FALSE),0)*IFERROR(VLOOKUP($A66&amp;"|Sep",Lists!$J:$L,3,FALSE),0))</f>
        <v/>
      </c>
      <c r="AC66" s="16">
        <f>IF(Q66="","",Q66*IFERROR(VLOOKUP($A66&amp;"|Oct",Lists!$J:$L,2,FALSE),0)*IFERROR(VLOOKUP($A66&amp;"|Oct",Lists!$J:$L,3,FALSE),0))</f>
        <v/>
      </c>
      <c r="AD66" s="16">
        <f>IF(R66="","",R66*IFERROR(VLOOKUP($A66&amp;"|Nov",Lists!$J:$L,2,FALSE),0)*IFERROR(VLOOKUP($A66&amp;"|Nov",Lists!$J:$L,3,FALSE),0))</f>
        <v/>
      </c>
      <c r="AE66" s="16">
        <f>IF(S66="","",S66*IFERROR(VLOOKUP($A66&amp;"|Dec",Lists!$J:$L,2,FALSE),0)*IFERROR(VLOOKUP($A66&amp;"|Dec",Lists!$J:$L,3,FALSE),0))</f>
        <v/>
      </c>
    </row>
    <row r="67">
      <c r="T67" s="19">
        <f>IF($A67="","",VLOOKUP($A67,DevRateTable,3,FALSE))</f>
        <v/>
      </c>
      <c r="U67" s="16">
        <f>IF(I67="","",I67*IFERROR(VLOOKUP($A67&amp;"|Feb",Lists!$J:$L,2,FALSE),0)*IFERROR(VLOOKUP($A67&amp;"|Feb",Lists!$J:$L,3,FALSE),0))</f>
        <v/>
      </c>
      <c r="V67" s="16">
        <f>IF(J67="","",J67*IFERROR(VLOOKUP($A67&amp;"|Mar",Lists!$J:$L,2,FALSE),0)*IFERROR(VLOOKUP($A67&amp;"|Mar",Lists!$J:$L,3,FALSE),0))</f>
        <v/>
      </c>
      <c r="W67" s="16">
        <f>IF(K67="","",K67*IFERROR(VLOOKUP($A67&amp;"|Apr",Lists!$J:$L,2,FALSE),0)*IFERROR(VLOOKUP($A67&amp;"|Apr",Lists!$J:$L,3,FALSE),0))</f>
        <v/>
      </c>
      <c r="X67" s="16">
        <f>IF(L67="","",L67*IFERROR(VLOOKUP($A67&amp;"|May",Lists!$J:$L,2,FALSE),0)*IFERROR(VLOOKUP($A67&amp;"|May",Lists!$J:$L,3,FALSE),0))</f>
        <v/>
      </c>
      <c r="Y67" s="16">
        <f>IF(M67="","",M67*IFERROR(VLOOKUP($A67&amp;"|Jun",Lists!$J:$L,2,FALSE),0)*IFERROR(VLOOKUP($A67&amp;"|Jun",Lists!$J:$L,3,FALSE),0))</f>
        <v/>
      </c>
      <c r="Z67" s="16">
        <f>IF(N67="","",N67*IFERROR(VLOOKUP($A67&amp;"|Jul",Lists!$J:$L,2,FALSE),0)*IFERROR(VLOOKUP($A67&amp;"|Jul",Lists!$J:$L,3,FALSE),0))</f>
        <v/>
      </c>
      <c r="AA67" s="16">
        <f>IF(O67="","",O67*IFERROR(VLOOKUP($A67&amp;"|Aug",Lists!$J:$L,2,FALSE),0)*IFERROR(VLOOKUP($A67&amp;"|Aug",Lists!$J:$L,3,FALSE),0))</f>
        <v/>
      </c>
      <c r="AB67" s="16">
        <f>IF(P67="","",P67*IFERROR(VLOOKUP($A67&amp;"|Sep",Lists!$J:$L,2,FALSE),0)*IFERROR(VLOOKUP($A67&amp;"|Sep",Lists!$J:$L,3,FALSE),0))</f>
        <v/>
      </c>
      <c r="AC67" s="16">
        <f>IF(Q67="","",Q67*IFERROR(VLOOKUP($A67&amp;"|Oct",Lists!$J:$L,2,FALSE),0)*IFERROR(VLOOKUP($A67&amp;"|Oct",Lists!$J:$L,3,FALSE),0))</f>
        <v/>
      </c>
      <c r="AD67" s="16">
        <f>IF(R67="","",R67*IFERROR(VLOOKUP($A67&amp;"|Nov",Lists!$J:$L,2,FALSE),0)*IFERROR(VLOOKUP($A67&amp;"|Nov",Lists!$J:$L,3,FALSE),0))</f>
        <v/>
      </c>
      <c r="AE67" s="16">
        <f>IF(S67="","",S67*IFERROR(VLOOKUP($A67&amp;"|Dec",Lists!$J:$L,2,FALSE),0)*IFERROR(VLOOKUP($A67&amp;"|Dec",Lists!$J:$L,3,FALSE),0))</f>
        <v/>
      </c>
    </row>
    <row r="68">
      <c r="T68" s="19">
        <f>IF($A68="","",VLOOKUP($A68,DevRateTable,3,FALSE))</f>
        <v/>
      </c>
      <c r="U68" s="16">
        <f>IF(I68="","",I68*IFERROR(VLOOKUP($A68&amp;"|Feb",Lists!$J:$L,2,FALSE),0)*IFERROR(VLOOKUP($A68&amp;"|Feb",Lists!$J:$L,3,FALSE),0))</f>
        <v/>
      </c>
      <c r="V68" s="16">
        <f>IF(J68="","",J68*IFERROR(VLOOKUP($A68&amp;"|Mar",Lists!$J:$L,2,FALSE),0)*IFERROR(VLOOKUP($A68&amp;"|Mar",Lists!$J:$L,3,FALSE),0))</f>
        <v/>
      </c>
      <c r="W68" s="16">
        <f>IF(K68="","",K68*IFERROR(VLOOKUP($A68&amp;"|Apr",Lists!$J:$L,2,FALSE),0)*IFERROR(VLOOKUP($A68&amp;"|Apr",Lists!$J:$L,3,FALSE),0))</f>
        <v/>
      </c>
      <c r="X68" s="16">
        <f>IF(L68="","",L68*IFERROR(VLOOKUP($A68&amp;"|May",Lists!$J:$L,2,FALSE),0)*IFERROR(VLOOKUP($A68&amp;"|May",Lists!$J:$L,3,FALSE),0))</f>
        <v/>
      </c>
      <c r="Y68" s="16">
        <f>IF(M68="","",M68*IFERROR(VLOOKUP($A68&amp;"|Jun",Lists!$J:$L,2,FALSE),0)*IFERROR(VLOOKUP($A68&amp;"|Jun",Lists!$J:$L,3,FALSE),0))</f>
        <v/>
      </c>
      <c r="Z68" s="16">
        <f>IF(N68="","",N68*IFERROR(VLOOKUP($A68&amp;"|Jul",Lists!$J:$L,2,FALSE),0)*IFERROR(VLOOKUP($A68&amp;"|Jul",Lists!$J:$L,3,FALSE),0))</f>
        <v/>
      </c>
      <c r="AA68" s="16">
        <f>IF(O68="","",O68*IFERROR(VLOOKUP($A68&amp;"|Aug",Lists!$J:$L,2,FALSE),0)*IFERROR(VLOOKUP($A68&amp;"|Aug",Lists!$J:$L,3,FALSE),0))</f>
        <v/>
      </c>
      <c r="AB68" s="16">
        <f>IF(P68="","",P68*IFERROR(VLOOKUP($A68&amp;"|Sep",Lists!$J:$L,2,FALSE),0)*IFERROR(VLOOKUP($A68&amp;"|Sep",Lists!$J:$L,3,FALSE),0))</f>
        <v/>
      </c>
      <c r="AC68" s="16">
        <f>IF(Q68="","",Q68*IFERROR(VLOOKUP($A68&amp;"|Oct",Lists!$J:$L,2,FALSE),0)*IFERROR(VLOOKUP($A68&amp;"|Oct",Lists!$J:$L,3,FALSE),0))</f>
        <v/>
      </c>
      <c r="AD68" s="16">
        <f>IF(R68="","",R68*IFERROR(VLOOKUP($A68&amp;"|Nov",Lists!$J:$L,2,FALSE),0)*IFERROR(VLOOKUP($A68&amp;"|Nov",Lists!$J:$L,3,FALSE),0))</f>
        <v/>
      </c>
      <c r="AE68" s="16">
        <f>IF(S68="","",S68*IFERROR(VLOOKUP($A68&amp;"|Dec",Lists!$J:$L,2,FALSE),0)*IFERROR(VLOOKUP($A68&amp;"|Dec",Lists!$J:$L,3,FALSE),0))</f>
        <v/>
      </c>
    </row>
    <row r="69">
      <c r="T69" s="19">
        <f>IF($A69="","",VLOOKUP($A69,DevRateTable,3,FALSE))</f>
        <v/>
      </c>
      <c r="U69" s="16">
        <f>IF(I69="","",I69*IFERROR(VLOOKUP($A69&amp;"|Feb",Lists!$J:$L,2,FALSE),0)*IFERROR(VLOOKUP($A69&amp;"|Feb",Lists!$J:$L,3,FALSE),0))</f>
        <v/>
      </c>
      <c r="V69" s="16">
        <f>IF(J69="","",J69*IFERROR(VLOOKUP($A69&amp;"|Mar",Lists!$J:$L,2,FALSE),0)*IFERROR(VLOOKUP($A69&amp;"|Mar",Lists!$J:$L,3,FALSE),0))</f>
        <v/>
      </c>
      <c r="W69" s="16">
        <f>IF(K69="","",K69*IFERROR(VLOOKUP($A69&amp;"|Apr",Lists!$J:$L,2,FALSE),0)*IFERROR(VLOOKUP($A69&amp;"|Apr",Lists!$J:$L,3,FALSE),0))</f>
        <v/>
      </c>
      <c r="X69" s="16">
        <f>IF(L69="","",L69*IFERROR(VLOOKUP($A69&amp;"|May",Lists!$J:$L,2,FALSE),0)*IFERROR(VLOOKUP($A69&amp;"|May",Lists!$J:$L,3,FALSE),0))</f>
        <v/>
      </c>
      <c r="Y69" s="16">
        <f>IF(M69="","",M69*IFERROR(VLOOKUP($A69&amp;"|Jun",Lists!$J:$L,2,FALSE),0)*IFERROR(VLOOKUP($A69&amp;"|Jun",Lists!$J:$L,3,FALSE),0))</f>
        <v/>
      </c>
      <c r="Z69" s="16">
        <f>IF(N69="","",N69*IFERROR(VLOOKUP($A69&amp;"|Jul",Lists!$J:$L,2,FALSE),0)*IFERROR(VLOOKUP($A69&amp;"|Jul",Lists!$J:$L,3,FALSE),0))</f>
        <v/>
      </c>
      <c r="AA69" s="16">
        <f>IF(O69="","",O69*IFERROR(VLOOKUP($A69&amp;"|Aug",Lists!$J:$L,2,FALSE),0)*IFERROR(VLOOKUP($A69&amp;"|Aug",Lists!$J:$L,3,FALSE),0))</f>
        <v/>
      </c>
      <c r="AB69" s="16">
        <f>IF(P69="","",P69*IFERROR(VLOOKUP($A69&amp;"|Sep",Lists!$J:$L,2,FALSE),0)*IFERROR(VLOOKUP($A69&amp;"|Sep",Lists!$J:$L,3,FALSE),0))</f>
        <v/>
      </c>
      <c r="AC69" s="16">
        <f>IF(Q69="","",Q69*IFERROR(VLOOKUP($A69&amp;"|Oct",Lists!$J:$L,2,FALSE),0)*IFERROR(VLOOKUP($A69&amp;"|Oct",Lists!$J:$L,3,FALSE),0))</f>
        <v/>
      </c>
      <c r="AD69" s="16">
        <f>IF(R69="","",R69*IFERROR(VLOOKUP($A69&amp;"|Nov",Lists!$J:$L,2,FALSE),0)*IFERROR(VLOOKUP($A69&amp;"|Nov",Lists!$J:$L,3,FALSE),0))</f>
        <v/>
      </c>
      <c r="AE69" s="16">
        <f>IF(S69="","",S69*IFERROR(VLOOKUP($A69&amp;"|Dec",Lists!$J:$L,2,FALSE),0)*IFERROR(VLOOKUP($A69&amp;"|Dec",Lists!$J:$L,3,FALSE),0))</f>
        <v/>
      </c>
    </row>
    <row r="70">
      <c r="T70" s="19">
        <f>IF($A70="","",VLOOKUP($A70,DevRateTable,3,FALSE))</f>
        <v/>
      </c>
      <c r="U70" s="16">
        <f>IF(I70="","",I70*IFERROR(VLOOKUP($A70&amp;"|Feb",Lists!$J:$L,2,FALSE),0)*IFERROR(VLOOKUP($A70&amp;"|Feb",Lists!$J:$L,3,FALSE),0))</f>
        <v/>
      </c>
      <c r="V70" s="16">
        <f>IF(J70="","",J70*IFERROR(VLOOKUP($A70&amp;"|Mar",Lists!$J:$L,2,FALSE),0)*IFERROR(VLOOKUP($A70&amp;"|Mar",Lists!$J:$L,3,FALSE),0))</f>
        <v/>
      </c>
      <c r="W70" s="16">
        <f>IF(K70="","",K70*IFERROR(VLOOKUP($A70&amp;"|Apr",Lists!$J:$L,2,FALSE),0)*IFERROR(VLOOKUP($A70&amp;"|Apr",Lists!$J:$L,3,FALSE),0))</f>
        <v/>
      </c>
      <c r="X70" s="16">
        <f>IF(L70="","",L70*IFERROR(VLOOKUP($A70&amp;"|May",Lists!$J:$L,2,FALSE),0)*IFERROR(VLOOKUP($A70&amp;"|May",Lists!$J:$L,3,FALSE),0))</f>
        <v/>
      </c>
      <c r="Y70" s="16">
        <f>IF(M70="","",M70*IFERROR(VLOOKUP($A70&amp;"|Jun",Lists!$J:$L,2,FALSE),0)*IFERROR(VLOOKUP($A70&amp;"|Jun",Lists!$J:$L,3,FALSE),0))</f>
        <v/>
      </c>
      <c r="Z70" s="16">
        <f>IF(N70="","",N70*IFERROR(VLOOKUP($A70&amp;"|Jul",Lists!$J:$L,2,FALSE),0)*IFERROR(VLOOKUP($A70&amp;"|Jul",Lists!$J:$L,3,FALSE),0))</f>
        <v/>
      </c>
      <c r="AA70" s="16">
        <f>IF(O70="","",O70*IFERROR(VLOOKUP($A70&amp;"|Aug",Lists!$J:$L,2,FALSE),0)*IFERROR(VLOOKUP($A70&amp;"|Aug",Lists!$J:$L,3,FALSE),0))</f>
        <v/>
      </c>
      <c r="AB70" s="16">
        <f>IF(P70="","",P70*IFERROR(VLOOKUP($A70&amp;"|Sep",Lists!$J:$L,2,FALSE),0)*IFERROR(VLOOKUP($A70&amp;"|Sep",Lists!$J:$L,3,FALSE),0))</f>
        <v/>
      </c>
      <c r="AC70" s="16">
        <f>IF(Q70="","",Q70*IFERROR(VLOOKUP($A70&amp;"|Oct",Lists!$J:$L,2,FALSE),0)*IFERROR(VLOOKUP($A70&amp;"|Oct",Lists!$J:$L,3,FALSE),0))</f>
        <v/>
      </c>
      <c r="AD70" s="16">
        <f>IF(R70="","",R70*IFERROR(VLOOKUP($A70&amp;"|Nov",Lists!$J:$L,2,FALSE),0)*IFERROR(VLOOKUP($A70&amp;"|Nov",Lists!$J:$L,3,FALSE),0))</f>
        <v/>
      </c>
      <c r="AE70" s="16">
        <f>IF(S70="","",S70*IFERROR(VLOOKUP($A70&amp;"|Dec",Lists!$J:$L,2,FALSE),0)*IFERROR(VLOOKUP($A70&amp;"|Dec",Lists!$J:$L,3,FALSE),0))</f>
        <v/>
      </c>
    </row>
    <row r="71">
      <c r="T71" s="19">
        <f>IF($A71="","",VLOOKUP($A71,DevRateTable,3,FALSE))</f>
        <v/>
      </c>
      <c r="U71" s="16">
        <f>IF(I71="","",I71*IFERROR(VLOOKUP($A71&amp;"|Feb",Lists!$J:$L,2,FALSE),0)*IFERROR(VLOOKUP($A71&amp;"|Feb",Lists!$J:$L,3,FALSE),0))</f>
        <v/>
      </c>
      <c r="V71" s="16">
        <f>IF(J71="","",J71*IFERROR(VLOOKUP($A71&amp;"|Mar",Lists!$J:$L,2,FALSE),0)*IFERROR(VLOOKUP($A71&amp;"|Mar",Lists!$J:$L,3,FALSE),0))</f>
        <v/>
      </c>
      <c r="W71" s="16">
        <f>IF(K71="","",K71*IFERROR(VLOOKUP($A71&amp;"|Apr",Lists!$J:$L,2,FALSE),0)*IFERROR(VLOOKUP($A71&amp;"|Apr",Lists!$J:$L,3,FALSE),0))</f>
        <v/>
      </c>
      <c r="X71" s="16">
        <f>IF(L71="","",L71*IFERROR(VLOOKUP($A71&amp;"|May",Lists!$J:$L,2,FALSE),0)*IFERROR(VLOOKUP($A71&amp;"|May",Lists!$J:$L,3,FALSE),0))</f>
        <v/>
      </c>
      <c r="Y71" s="16">
        <f>IF(M71="","",M71*IFERROR(VLOOKUP($A71&amp;"|Jun",Lists!$J:$L,2,FALSE),0)*IFERROR(VLOOKUP($A71&amp;"|Jun",Lists!$J:$L,3,FALSE),0))</f>
        <v/>
      </c>
      <c r="Z71" s="16">
        <f>IF(N71="","",N71*IFERROR(VLOOKUP($A71&amp;"|Jul",Lists!$J:$L,2,FALSE),0)*IFERROR(VLOOKUP($A71&amp;"|Jul",Lists!$J:$L,3,FALSE),0))</f>
        <v/>
      </c>
      <c r="AA71" s="16">
        <f>IF(O71="","",O71*IFERROR(VLOOKUP($A71&amp;"|Aug",Lists!$J:$L,2,FALSE),0)*IFERROR(VLOOKUP($A71&amp;"|Aug",Lists!$J:$L,3,FALSE),0))</f>
        <v/>
      </c>
      <c r="AB71" s="16">
        <f>IF(P71="","",P71*IFERROR(VLOOKUP($A71&amp;"|Sep",Lists!$J:$L,2,FALSE),0)*IFERROR(VLOOKUP($A71&amp;"|Sep",Lists!$J:$L,3,FALSE),0))</f>
        <v/>
      </c>
      <c r="AC71" s="16">
        <f>IF(Q71="","",Q71*IFERROR(VLOOKUP($A71&amp;"|Oct",Lists!$J:$L,2,FALSE),0)*IFERROR(VLOOKUP($A71&amp;"|Oct",Lists!$J:$L,3,FALSE),0))</f>
        <v/>
      </c>
      <c r="AD71" s="16">
        <f>IF(R71="","",R71*IFERROR(VLOOKUP($A71&amp;"|Nov",Lists!$J:$L,2,FALSE),0)*IFERROR(VLOOKUP($A71&amp;"|Nov",Lists!$J:$L,3,FALSE),0))</f>
        <v/>
      </c>
      <c r="AE71" s="16">
        <f>IF(S71="","",S71*IFERROR(VLOOKUP($A71&amp;"|Dec",Lists!$J:$L,2,FALSE),0)*IFERROR(VLOOKUP($A71&amp;"|Dec",Lists!$J:$L,3,FALSE),0))</f>
        <v/>
      </c>
    </row>
    <row r="72">
      <c r="T72" s="19">
        <f>IF($A72="","",VLOOKUP($A72,DevRateTable,3,FALSE))</f>
        <v/>
      </c>
      <c r="U72" s="16">
        <f>IF(I72="","",I72*IFERROR(VLOOKUP($A72&amp;"|Feb",Lists!$J:$L,2,FALSE),0)*IFERROR(VLOOKUP($A72&amp;"|Feb",Lists!$J:$L,3,FALSE),0))</f>
        <v/>
      </c>
      <c r="V72" s="16">
        <f>IF(J72="","",J72*IFERROR(VLOOKUP($A72&amp;"|Mar",Lists!$J:$L,2,FALSE),0)*IFERROR(VLOOKUP($A72&amp;"|Mar",Lists!$J:$L,3,FALSE),0))</f>
        <v/>
      </c>
      <c r="W72" s="16">
        <f>IF(K72="","",K72*IFERROR(VLOOKUP($A72&amp;"|Apr",Lists!$J:$L,2,FALSE),0)*IFERROR(VLOOKUP($A72&amp;"|Apr",Lists!$J:$L,3,FALSE),0))</f>
        <v/>
      </c>
      <c r="X72" s="16">
        <f>IF(L72="","",L72*IFERROR(VLOOKUP($A72&amp;"|May",Lists!$J:$L,2,FALSE),0)*IFERROR(VLOOKUP($A72&amp;"|May",Lists!$J:$L,3,FALSE),0))</f>
        <v/>
      </c>
      <c r="Y72" s="16">
        <f>IF(M72="","",M72*IFERROR(VLOOKUP($A72&amp;"|Jun",Lists!$J:$L,2,FALSE),0)*IFERROR(VLOOKUP($A72&amp;"|Jun",Lists!$J:$L,3,FALSE),0))</f>
        <v/>
      </c>
      <c r="Z72" s="16">
        <f>IF(N72="","",N72*IFERROR(VLOOKUP($A72&amp;"|Jul",Lists!$J:$L,2,FALSE),0)*IFERROR(VLOOKUP($A72&amp;"|Jul",Lists!$J:$L,3,FALSE),0))</f>
        <v/>
      </c>
      <c r="AA72" s="16">
        <f>IF(O72="","",O72*IFERROR(VLOOKUP($A72&amp;"|Aug",Lists!$J:$L,2,FALSE),0)*IFERROR(VLOOKUP($A72&amp;"|Aug",Lists!$J:$L,3,FALSE),0))</f>
        <v/>
      </c>
      <c r="AB72" s="16">
        <f>IF(P72="","",P72*IFERROR(VLOOKUP($A72&amp;"|Sep",Lists!$J:$L,2,FALSE),0)*IFERROR(VLOOKUP($A72&amp;"|Sep",Lists!$J:$L,3,FALSE),0))</f>
        <v/>
      </c>
      <c r="AC72" s="16">
        <f>IF(Q72="","",Q72*IFERROR(VLOOKUP($A72&amp;"|Oct",Lists!$J:$L,2,FALSE),0)*IFERROR(VLOOKUP($A72&amp;"|Oct",Lists!$J:$L,3,FALSE),0))</f>
        <v/>
      </c>
      <c r="AD72" s="16">
        <f>IF(R72="","",R72*IFERROR(VLOOKUP($A72&amp;"|Nov",Lists!$J:$L,2,FALSE),0)*IFERROR(VLOOKUP($A72&amp;"|Nov",Lists!$J:$L,3,FALSE),0))</f>
        <v/>
      </c>
      <c r="AE72" s="16">
        <f>IF(S72="","",S72*IFERROR(VLOOKUP($A72&amp;"|Dec",Lists!$J:$L,2,FALSE),0)*IFERROR(VLOOKUP($A72&amp;"|Dec",Lists!$J:$L,3,FALSE),0))</f>
        <v/>
      </c>
    </row>
    <row r="73">
      <c r="T73" s="19">
        <f>IF($A73="","",VLOOKUP($A73,DevRateTable,3,FALSE))</f>
        <v/>
      </c>
      <c r="U73" s="16">
        <f>IF(I73="","",I73*IFERROR(VLOOKUP($A73&amp;"|Feb",Lists!$J:$L,2,FALSE),0)*IFERROR(VLOOKUP($A73&amp;"|Feb",Lists!$J:$L,3,FALSE),0))</f>
        <v/>
      </c>
      <c r="V73" s="16">
        <f>IF(J73="","",J73*IFERROR(VLOOKUP($A73&amp;"|Mar",Lists!$J:$L,2,FALSE),0)*IFERROR(VLOOKUP($A73&amp;"|Mar",Lists!$J:$L,3,FALSE),0))</f>
        <v/>
      </c>
      <c r="W73" s="16">
        <f>IF(K73="","",K73*IFERROR(VLOOKUP($A73&amp;"|Apr",Lists!$J:$L,2,FALSE),0)*IFERROR(VLOOKUP($A73&amp;"|Apr",Lists!$J:$L,3,FALSE),0))</f>
        <v/>
      </c>
      <c r="X73" s="16">
        <f>IF(L73="","",L73*IFERROR(VLOOKUP($A73&amp;"|May",Lists!$J:$L,2,FALSE),0)*IFERROR(VLOOKUP($A73&amp;"|May",Lists!$J:$L,3,FALSE),0))</f>
        <v/>
      </c>
      <c r="Y73" s="16">
        <f>IF(M73="","",M73*IFERROR(VLOOKUP($A73&amp;"|Jun",Lists!$J:$L,2,FALSE),0)*IFERROR(VLOOKUP($A73&amp;"|Jun",Lists!$J:$L,3,FALSE),0))</f>
        <v/>
      </c>
      <c r="Z73" s="16">
        <f>IF(N73="","",N73*IFERROR(VLOOKUP($A73&amp;"|Jul",Lists!$J:$L,2,FALSE),0)*IFERROR(VLOOKUP($A73&amp;"|Jul",Lists!$J:$L,3,FALSE),0))</f>
        <v/>
      </c>
      <c r="AA73" s="16">
        <f>IF(O73="","",O73*IFERROR(VLOOKUP($A73&amp;"|Aug",Lists!$J:$L,2,FALSE),0)*IFERROR(VLOOKUP($A73&amp;"|Aug",Lists!$J:$L,3,FALSE),0))</f>
        <v/>
      </c>
      <c r="AB73" s="16">
        <f>IF(P73="","",P73*IFERROR(VLOOKUP($A73&amp;"|Sep",Lists!$J:$L,2,FALSE),0)*IFERROR(VLOOKUP($A73&amp;"|Sep",Lists!$J:$L,3,FALSE),0))</f>
        <v/>
      </c>
      <c r="AC73" s="16">
        <f>IF(Q73="","",Q73*IFERROR(VLOOKUP($A73&amp;"|Oct",Lists!$J:$L,2,FALSE),0)*IFERROR(VLOOKUP($A73&amp;"|Oct",Lists!$J:$L,3,FALSE),0))</f>
        <v/>
      </c>
      <c r="AD73" s="16">
        <f>IF(R73="","",R73*IFERROR(VLOOKUP($A73&amp;"|Nov",Lists!$J:$L,2,FALSE),0)*IFERROR(VLOOKUP($A73&amp;"|Nov",Lists!$J:$L,3,FALSE),0))</f>
        <v/>
      </c>
      <c r="AE73" s="16">
        <f>IF(S73="","",S73*IFERROR(VLOOKUP($A73&amp;"|Dec",Lists!$J:$L,2,FALSE),0)*IFERROR(VLOOKUP($A73&amp;"|Dec",Lists!$J:$L,3,FALSE),0))</f>
        <v/>
      </c>
    </row>
    <row r="74">
      <c r="T74" s="19">
        <f>IF($A74="","",VLOOKUP($A74,DevRateTable,3,FALSE))</f>
        <v/>
      </c>
      <c r="U74" s="16">
        <f>IF(I74="","",I74*IFERROR(VLOOKUP($A74&amp;"|Feb",Lists!$J:$L,2,FALSE),0)*IFERROR(VLOOKUP($A74&amp;"|Feb",Lists!$J:$L,3,FALSE),0))</f>
        <v/>
      </c>
      <c r="V74" s="16">
        <f>IF(J74="","",J74*IFERROR(VLOOKUP($A74&amp;"|Mar",Lists!$J:$L,2,FALSE),0)*IFERROR(VLOOKUP($A74&amp;"|Mar",Lists!$J:$L,3,FALSE),0))</f>
        <v/>
      </c>
      <c r="W74" s="16">
        <f>IF(K74="","",K74*IFERROR(VLOOKUP($A74&amp;"|Apr",Lists!$J:$L,2,FALSE),0)*IFERROR(VLOOKUP($A74&amp;"|Apr",Lists!$J:$L,3,FALSE),0))</f>
        <v/>
      </c>
      <c r="X74" s="16">
        <f>IF(L74="","",L74*IFERROR(VLOOKUP($A74&amp;"|May",Lists!$J:$L,2,FALSE),0)*IFERROR(VLOOKUP($A74&amp;"|May",Lists!$J:$L,3,FALSE),0))</f>
        <v/>
      </c>
      <c r="Y74" s="16">
        <f>IF(M74="","",M74*IFERROR(VLOOKUP($A74&amp;"|Jun",Lists!$J:$L,2,FALSE),0)*IFERROR(VLOOKUP($A74&amp;"|Jun",Lists!$J:$L,3,FALSE),0))</f>
        <v/>
      </c>
      <c r="Z74" s="16">
        <f>IF(N74="","",N74*IFERROR(VLOOKUP($A74&amp;"|Jul",Lists!$J:$L,2,FALSE),0)*IFERROR(VLOOKUP($A74&amp;"|Jul",Lists!$J:$L,3,FALSE),0))</f>
        <v/>
      </c>
      <c r="AA74" s="16">
        <f>IF(O74="","",O74*IFERROR(VLOOKUP($A74&amp;"|Aug",Lists!$J:$L,2,FALSE),0)*IFERROR(VLOOKUP($A74&amp;"|Aug",Lists!$J:$L,3,FALSE),0))</f>
        <v/>
      </c>
      <c r="AB74" s="16">
        <f>IF(P74="","",P74*IFERROR(VLOOKUP($A74&amp;"|Sep",Lists!$J:$L,2,FALSE),0)*IFERROR(VLOOKUP($A74&amp;"|Sep",Lists!$J:$L,3,FALSE),0))</f>
        <v/>
      </c>
      <c r="AC74" s="16">
        <f>IF(Q74="","",Q74*IFERROR(VLOOKUP($A74&amp;"|Oct",Lists!$J:$L,2,FALSE),0)*IFERROR(VLOOKUP($A74&amp;"|Oct",Lists!$J:$L,3,FALSE),0))</f>
        <v/>
      </c>
      <c r="AD74" s="16">
        <f>IF(R74="","",R74*IFERROR(VLOOKUP($A74&amp;"|Nov",Lists!$J:$L,2,FALSE),0)*IFERROR(VLOOKUP($A74&amp;"|Nov",Lists!$J:$L,3,FALSE),0))</f>
        <v/>
      </c>
      <c r="AE74" s="16">
        <f>IF(S74="","",S74*IFERROR(VLOOKUP($A74&amp;"|Dec",Lists!$J:$L,2,FALSE),0)*IFERROR(VLOOKUP($A74&amp;"|Dec",Lists!$J:$L,3,FALSE),0))</f>
        <v/>
      </c>
    </row>
    <row r="75">
      <c r="T75" s="19">
        <f>IF($A75="","",VLOOKUP($A75,DevRateTable,3,FALSE))</f>
        <v/>
      </c>
      <c r="U75" s="16">
        <f>IF(I75="","",I75*IFERROR(VLOOKUP($A75&amp;"|Feb",Lists!$J:$L,2,FALSE),0)*IFERROR(VLOOKUP($A75&amp;"|Feb",Lists!$J:$L,3,FALSE),0))</f>
        <v/>
      </c>
      <c r="V75" s="16">
        <f>IF(J75="","",J75*IFERROR(VLOOKUP($A75&amp;"|Mar",Lists!$J:$L,2,FALSE),0)*IFERROR(VLOOKUP($A75&amp;"|Mar",Lists!$J:$L,3,FALSE),0))</f>
        <v/>
      </c>
      <c r="W75" s="16">
        <f>IF(K75="","",K75*IFERROR(VLOOKUP($A75&amp;"|Apr",Lists!$J:$L,2,FALSE),0)*IFERROR(VLOOKUP($A75&amp;"|Apr",Lists!$J:$L,3,FALSE),0))</f>
        <v/>
      </c>
      <c r="X75" s="16">
        <f>IF(L75="","",L75*IFERROR(VLOOKUP($A75&amp;"|May",Lists!$J:$L,2,FALSE),0)*IFERROR(VLOOKUP($A75&amp;"|May",Lists!$J:$L,3,FALSE),0))</f>
        <v/>
      </c>
      <c r="Y75" s="16">
        <f>IF(M75="","",M75*IFERROR(VLOOKUP($A75&amp;"|Jun",Lists!$J:$L,2,FALSE),0)*IFERROR(VLOOKUP($A75&amp;"|Jun",Lists!$J:$L,3,FALSE),0))</f>
        <v/>
      </c>
      <c r="Z75" s="16">
        <f>IF(N75="","",N75*IFERROR(VLOOKUP($A75&amp;"|Jul",Lists!$J:$L,2,FALSE),0)*IFERROR(VLOOKUP($A75&amp;"|Jul",Lists!$J:$L,3,FALSE),0))</f>
        <v/>
      </c>
      <c r="AA75" s="16">
        <f>IF(O75="","",O75*IFERROR(VLOOKUP($A75&amp;"|Aug",Lists!$J:$L,2,FALSE),0)*IFERROR(VLOOKUP($A75&amp;"|Aug",Lists!$J:$L,3,FALSE),0))</f>
        <v/>
      </c>
      <c r="AB75" s="16">
        <f>IF(P75="","",P75*IFERROR(VLOOKUP($A75&amp;"|Sep",Lists!$J:$L,2,FALSE),0)*IFERROR(VLOOKUP($A75&amp;"|Sep",Lists!$J:$L,3,FALSE),0))</f>
        <v/>
      </c>
      <c r="AC75" s="16">
        <f>IF(Q75="","",Q75*IFERROR(VLOOKUP($A75&amp;"|Oct",Lists!$J:$L,2,FALSE),0)*IFERROR(VLOOKUP($A75&amp;"|Oct",Lists!$J:$L,3,FALSE),0))</f>
        <v/>
      </c>
      <c r="AD75" s="16">
        <f>IF(R75="","",R75*IFERROR(VLOOKUP($A75&amp;"|Nov",Lists!$J:$L,2,FALSE),0)*IFERROR(VLOOKUP($A75&amp;"|Nov",Lists!$J:$L,3,FALSE),0))</f>
        <v/>
      </c>
      <c r="AE75" s="16">
        <f>IF(S75="","",S75*IFERROR(VLOOKUP($A75&amp;"|Dec",Lists!$J:$L,2,FALSE),0)*IFERROR(VLOOKUP($A75&amp;"|Dec",Lists!$J:$L,3,FALSE),0))</f>
        <v/>
      </c>
    </row>
    <row r="76">
      <c r="T76" s="19">
        <f>IF($A76="","",VLOOKUP($A76,DevRateTable,3,FALSE))</f>
        <v/>
      </c>
      <c r="U76" s="16">
        <f>IF(I76="","",I76*IFERROR(VLOOKUP($A76&amp;"|Feb",Lists!$J:$L,2,FALSE),0)*IFERROR(VLOOKUP($A76&amp;"|Feb",Lists!$J:$L,3,FALSE),0))</f>
        <v/>
      </c>
      <c r="V76" s="16">
        <f>IF(J76="","",J76*IFERROR(VLOOKUP($A76&amp;"|Mar",Lists!$J:$L,2,FALSE),0)*IFERROR(VLOOKUP($A76&amp;"|Mar",Lists!$J:$L,3,FALSE),0))</f>
        <v/>
      </c>
      <c r="W76" s="16">
        <f>IF(K76="","",K76*IFERROR(VLOOKUP($A76&amp;"|Apr",Lists!$J:$L,2,FALSE),0)*IFERROR(VLOOKUP($A76&amp;"|Apr",Lists!$J:$L,3,FALSE),0))</f>
        <v/>
      </c>
      <c r="X76" s="16">
        <f>IF(L76="","",L76*IFERROR(VLOOKUP($A76&amp;"|May",Lists!$J:$L,2,FALSE),0)*IFERROR(VLOOKUP($A76&amp;"|May",Lists!$J:$L,3,FALSE),0))</f>
        <v/>
      </c>
      <c r="Y76" s="16">
        <f>IF(M76="","",M76*IFERROR(VLOOKUP($A76&amp;"|Jun",Lists!$J:$L,2,FALSE),0)*IFERROR(VLOOKUP($A76&amp;"|Jun",Lists!$J:$L,3,FALSE),0))</f>
        <v/>
      </c>
      <c r="Z76" s="16">
        <f>IF(N76="","",N76*IFERROR(VLOOKUP($A76&amp;"|Jul",Lists!$J:$L,2,FALSE),0)*IFERROR(VLOOKUP($A76&amp;"|Jul",Lists!$J:$L,3,FALSE),0))</f>
        <v/>
      </c>
      <c r="AA76" s="16">
        <f>IF(O76="","",O76*IFERROR(VLOOKUP($A76&amp;"|Aug",Lists!$J:$L,2,FALSE),0)*IFERROR(VLOOKUP($A76&amp;"|Aug",Lists!$J:$L,3,FALSE),0))</f>
        <v/>
      </c>
      <c r="AB76" s="16">
        <f>IF(P76="","",P76*IFERROR(VLOOKUP($A76&amp;"|Sep",Lists!$J:$L,2,FALSE),0)*IFERROR(VLOOKUP($A76&amp;"|Sep",Lists!$J:$L,3,FALSE),0))</f>
        <v/>
      </c>
      <c r="AC76" s="16">
        <f>IF(Q76="","",Q76*IFERROR(VLOOKUP($A76&amp;"|Oct",Lists!$J:$L,2,FALSE),0)*IFERROR(VLOOKUP($A76&amp;"|Oct",Lists!$J:$L,3,FALSE),0))</f>
        <v/>
      </c>
      <c r="AD76" s="16">
        <f>IF(R76="","",R76*IFERROR(VLOOKUP($A76&amp;"|Nov",Lists!$J:$L,2,FALSE),0)*IFERROR(VLOOKUP($A76&amp;"|Nov",Lists!$J:$L,3,FALSE),0))</f>
        <v/>
      </c>
      <c r="AE76" s="16">
        <f>IF(S76="","",S76*IFERROR(VLOOKUP($A76&amp;"|Dec",Lists!$J:$L,2,FALSE),0)*IFERROR(VLOOKUP($A76&amp;"|Dec",Lists!$J:$L,3,FALSE),0))</f>
        <v/>
      </c>
    </row>
    <row r="77">
      <c r="T77" s="19">
        <f>IF($A77="","",VLOOKUP($A77,DevRateTable,3,FALSE))</f>
        <v/>
      </c>
      <c r="U77" s="16">
        <f>IF(I77="","",I77*IFERROR(VLOOKUP($A77&amp;"|Feb",Lists!$J:$L,2,FALSE),0)*IFERROR(VLOOKUP($A77&amp;"|Feb",Lists!$J:$L,3,FALSE),0))</f>
        <v/>
      </c>
      <c r="V77" s="16">
        <f>IF(J77="","",J77*IFERROR(VLOOKUP($A77&amp;"|Mar",Lists!$J:$L,2,FALSE),0)*IFERROR(VLOOKUP($A77&amp;"|Mar",Lists!$J:$L,3,FALSE),0))</f>
        <v/>
      </c>
      <c r="W77" s="16">
        <f>IF(K77="","",K77*IFERROR(VLOOKUP($A77&amp;"|Apr",Lists!$J:$L,2,FALSE),0)*IFERROR(VLOOKUP($A77&amp;"|Apr",Lists!$J:$L,3,FALSE),0))</f>
        <v/>
      </c>
      <c r="X77" s="16">
        <f>IF(L77="","",L77*IFERROR(VLOOKUP($A77&amp;"|May",Lists!$J:$L,2,FALSE),0)*IFERROR(VLOOKUP($A77&amp;"|May",Lists!$J:$L,3,FALSE),0))</f>
        <v/>
      </c>
      <c r="Y77" s="16">
        <f>IF(M77="","",M77*IFERROR(VLOOKUP($A77&amp;"|Jun",Lists!$J:$L,2,FALSE),0)*IFERROR(VLOOKUP($A77&amp;"|Jun",Lists!$J:$L,3,FALSE),0))</f>
        <v/>
      </c>
      <c r="Z77" s="16">
        <f>IF(N77="","",N77*IFERROR(VLOOKUP($A77&amp;"|Jul",Lists!$J:$L,2,FALSE),0)*IFERROR(VLOOKUP($A77&amp;"|Jul",Lists!$J:$L,3,FALSE),0))</f>
        <v/>
      </c>
      <c r="AA77" s="16">
        <f>IF(O77="","",O77*IFERROR(VLOOKUP($A77&amp;"|Aug",Lists!$J:$L,2,FALSE),0)*IFERROR(VLOOKUP($A77&amp;"|Aug",Lists!$J:$L,3,FALSE),0))</f>
        <v/>
      </c>
      <c r="AB77" s="16">
        <f>IF(P77="","",P77*IFERROR(VLOOKUP($A77&amp;"|Sep",Lists!$J:$L,2,FALSE),0)*IFERROR(VLOOKUP($A77&amp;"|Sep",Lists!$J:$L,3,FALSE),0))</f>
        <v/>
      </c>
      <c r="AC77" s="16">
        <f>IF(Q77="","",Q77*IFERROR(VLOOKUP($A77&amp;"|Oct",Lists!$J:$L,2,FALSE),0)*IFERROR(VLOOKUP($A77&amp;"|Oct",Lists!$J:$L,3,FALSE),0))</f>
        <v/>
      </c>
      <c r="AD77" s="16">
        <f>IF(R77="","",R77*IFERROR(VLOOKUP($A77&amp;"|Nov",Lists!$J:$L,2,FALSE),0)*IFERROR(VLOOKUP($A77&amp;"|Nov",Lists!$J:$L,3,FALSE),0))</f>
        <v/>
      </c>
      <c r="AE77" s="16">
        <f>IF(S77="","",S77*IFERROR(VLOOKUP($A77&amp;"|Dec",Lists!$J:$L,2,FALSE),0)*IFERROR(VLOOKUP($A77&amp;"|Dec",Lists!$J:$L,3,FALSE),0))</f>
        <v/>
      </c>
    </row>
    <row r="78">
      <c r="T78" s="19">
        <f>IF($A78="","",VLOOKUP($A78,DevRateTable,3,FALSE))</f>
        <v/>
      </c>
      <c r="U78" s="16">
        <f>IF(I78="","",I78*IFERROR(VLOOKUP($A78&amp;"|Feb",Lists!$J:$L,2,FALSE),0)*IFERROR(VLOOKUP($A78&amp;"|Feb",Lists!$J:$L,3,FALSE),0))</f>
        <v/>
      </c>
      <c r="V78" s="16">
        <f>IF(J78="","",J78*IFERROR(VLOOKUP($A78&amp;"|Mar",Lists!$J:$L,2,FALSE),0)*IFERROR(VLOOKUP($A78&amp;"|Mar",Lists!$J:$L,3,FALSE),0))</f>
        <v/>
      </c>
      <c r="W78" s="16">
        <f>IF(K78="","",K78*IFERROR(VLOOKUP($A78&amp;"|Apr",Lists!$J:$L,2,FALSE),0)*IFERROR(VLOOKUP($A78&amp;"|Apr",Lists!$J:$L,3,FALSE),0))</f>
        <v/>
      </c>
      <c r="X78" s="16">
        <f>IF(L78="","",L78*IFERROR(VLOOKUP($A78&amp;"|May",Lists!$J:$L,2,FALSE),0)*IFERROR(VLOOKUP($A78&amp;"|May",Lists!$J:$L,3,FALSE),0))</f>
        <v/>
      </c>
      <c r="Y78" s="16">
        <f>IF(M78="","",M78*IFERROR(VLOOKUP($A78&amp;"|Jun",Lists!$J:$L,2,FALSE),0)*IFERROR(VLOOKUP($A78&amp;"|Jun",Lists!$J:$L,3,FALSE),0))</f>
        <v/>
      </c>
      <c r="Z78" s="16">
        <f>IF(N78="","",N78*IFERROR(VLOOKUP($A78&amp;"|Jul",Lists!$J:$L,2,FALSE),0)*IFERROR(VLOOKUP($A78&amp;"|Jul",Lists!$J:$L,3,FALSE),0))</f>
        <v/>
      </c>
      <c r="AA78" s="16">
        <f>IF(O78="","",O78*IFERROR(VLOOKUP($A78&amp;"|Aug",Lists!$J:$L,2,FALSE),0)*IFERROR(VLOOKUP($A78&amp;"|Aug",Lists!$J:$L,3,FALSE),0))</f>
        <v/>
      </c>
      <c r="AB78" s="16">
        <f>IF(P78="","",P78*IFERROR(VLOOKUP($A78&amp;"|Sep",Lists!$J:$L,2,FALSE),0)*IFERROR(VLOOKUP($A78&amp;"|Sep",Lists!$J:$L,3,FALSE),0))</f>
        <v/>
      </c>
      <c r="AC78" s="16">
        <f>IF(Q78="","",Q78*IFERROR(VLOOKUP($A78&amp;"|Oct",Lists!$J:$L,2,FALSE),0)*IFERROR(VLOOKUP($A78&amp;"|Oct",Lists!$J:$L,3,FALSE),0))</f>
        <v/>
      </c>
      <c r="AD78" s="16">
        <f>IF(R78="","",R78*IFERROR(VLOOKUP($A78&amp;"|Nov",Lists!$J:$L,2,FALSE),0)*IFERROR(VLOOKUP($A78&amp;"|Nov",Lists!$J:$L,3,FALSE),0))</f>
        <v/>
      </c>
      <c r="AE78" s="16">
        <f>IF(S78="","",S78*IFERROR(VLOOKUP($A78&amp;"|Dec",Lists!$J:$L,2,FALSE),0)*IFERROR(VLOOKUP($A78&amp;"|Dec",Lists!$J:$L,3,FALSE),0))</f>
        <v/>
      </c>
    </row>
    <row r="79">
      <c r="T79" s="19">
        <f>IF($A79="","",VLOOKUP($A79,DevRateTable,3,FALSE))</f>
        <v/>
      </c>
      <c r="U79" s="16">
        <f>IF(I79="","",I79*IFERROR(VLOOKUP($A79&amp;"|Feb",Lists!$J:$L,2,FALSE),0)*IFERROR(VLOOKUP($A79&amp;"|Feb",Lists!$J:$L,3,FALSE),0))</f>
        <v/>
      </c>
      <c r="V79" s="16">
        <f>IF(J79="","",J79*IFERROR(VLOOKUP($A79&amp;"|Mar",Lists!$J:$L,2,FALSE),0)*IFERROR(VLOOKUP($A79&amp;"|Mar",Lists!$J:$L,3,FALSE),0))</f>
        <v/>
      </c>
      <c r="W79" s="16">
        <f>IF(K79="","",K79*IFERROR(VLOOKUP($A79&amp;"|Apr",Lists!$J:$L,2,FALSE),0)*IFERROR(VLOOKUP($A79&amp;"|Apr",Lists!$J:$L,3,FALSE),0))</f>
        <v/>
      </c>
      <c r="X79" s="16">
        <f>IF(L79="","",L79*IFERROR(VLOOKUP($A79&amp;"|May",Lists!$J:$L,2,FALSE),0)*IFERROR(VLOOKUP($A79&amp;"|May",Lists!$J:$L,3,FALSE),0))</f>
        <v/>
      </c>
      <c r="Y79" s="16">
        <f>IF(M79="","",M79*IFERROR(VLOOKUP($A79&amp;"|Jun",Lists!$J:$L,2,FALSE),0)*IFERROR(VLOOKUP($A79&amp;"|Jun",Lists!$J:$L,3,FALSE),0))</f>
        <v/>
      </c>
      <c r="Z79" s="16">
        <f>IF(N79="","",N79*IFERROR(VLOOKUP($A79&amp;"|Jul",Lists!$J:$L,2,FALSE),0)*IFERROR(VLOOKUP($A79&amp;"|Jul",Lists!$J:$L,3,FALSE),0))</f>
        <v/>
      </c>
      <c r="AA79" s="16">
        <f>IF(O79="","",O79*IFERROR(VLOOKUP($A79&amp;"|Aug",Lists!$J:$L,2,FALSE),0)*IFERROR(VLOOKUP($A79&amp;"|Aug",Lists!$J:$L,3,FALSE),0))</f>
        <v/>
      </c>
      <c r="AB79" s="16">
        <f>IF(P79="","",P79*IFERROR(VLOOKUP($A79&amp;"|Sep",Lists!$J:$L,2,FALSE),0)*IFERROR(VLOOKUP($A79&amp;"|Sep",Lists!$J:$L,3,FALSE),0))</f>
        <v/>
      </c>
      <c r="AC79" s="16">
        <f>IF(Q79="","",Q79*IFERROR(VLOOKUP($A79&amp;"|Oct",Lists!$J:$L,2,FALSE),0)*IFERROR(VLOOKUP($A79&amp;"|Oct",Lists!$J:$L,3,FALSE),0))</f>
        <v/>
      </c>
      <c r="AD79" s="16">
        <f>IF(R79="","",R79*IFERROR(VLOOKUP($A79&amp;"|Nov",Lists!$J:$L,2,FALSE),0)*IFERROR(VLOOKUP($A79&amp;"|Nov",Lists!$J:$L,3,FALSE),0))</f>
        <v/>
      </c>
      <c r="AE79" s="16">
        <f>IF(S79="","",S79*IFERROR(VLOOKUP($A79&amp;"|Dec",Lists!$J:$L,2,FALSE),0)*IFERROR(VLOOKUP($A79&amp;"|Dec",Lists!$J:$L,3,FALSE),0))</f>
        <v/>
      </c>
    </row>
    <row r="80">
      <c r="T80" s="19">
        <f>IF($A80="","",VLOOKUP($A80,DevRateTable,3,FALSE))</f>
        <v/>
      </c>
      <c r="U80" s="16">
        <f>IF(I80="","",I80*IFERROR(VLOOKUP($A80&amp;"|Feb",Lists!$J:$L,2,FALSE),0)*IFERROR(VLOOKUP($A80&amp;"|Feb",Lists!$J:$L,3,FALSE),0))</f>
        <v/>
      </c>
      <c r="V80" s="16">
        <f>IF(J80="","",J80*IFERROR(VLOOKUP($A80&amp;"|Mar",Lists!$J:$L,2,FALSE),0)*IFERROR(VLOOKUP($A80&amp;"|Mar",Lists!$J:$L,3,FALSE),0))</f>
        <v/>
      </c>
      <c r="W80" s="16">
        <f>IF(K80="","",K80*IFERROR(VLOOKUP($A80&amp;"|Apr",Lists!$J:$L,2,FALSE),0)*IFERROR(VLOOKUP($A80&amp;"|Apr",Lists!$J:$L,3,FALSE),0))</f>
        <v/>
      </c>
      <c r="X80" s="16">
        <f>IF(L80="","",L80*IFERROR(VLOOKUP($A80&amp;"|May",Lists!$J:$L,2,FALSE),0)*IFERROR(VLOOKUP($A80&amp;"|May",Lists!$J:$L,3,FALSE),0))</f>
        <v/>
      </c>
      <c r="Y80" s="16">
        <f>IF(M80="","",M80*IFERROR(VLOOKUP($A80&amp;"|Jun",Lists!$J:$L,2,FALSE),0)*IFERROR(VLOOKUP($A80&amp;"|Jun",Lists!$J:$L,3,FALSE),0))</f>
        <v/>
      </c>
      <c r="Z80" s="16">
        <f>IF(N80="","",N80*IFERROR(VLOOKUP($A80&amp;"|Jul",Lists!$J:$L,2,FALSE),0)*IFERROR(VLOOKUP($A80&amp;"|Jul",Lists!$J:$L,3,FALSE),0))</f>
        <v/>
      </c>
      <c r="AA80" s="16">
        <f>IF(O80="","",O80*IFERROR(VLOOKUP($A80&amp;"|Aug",Lists!$J:$L,2,FALSE),0)*IFERROR(VLOOKUP($A80&amp;"|Aug",Lists!$J:$L,3,FALSE),0))</f>
        <v/>
      </c>
      <c r="AB80" s="16">
        <f>IF(P80="","",P80*IFERROR(VLOOKUP($A80&amp;"|Sep",Lists!$J:$L,2,FALSE),0)*IFERROR(VLOOKUP($A80&amp;"|Sep",Lists!$J:$L,3,FALSE),0))</f>
        <v/>
      </c>
      <c r="AC80" s="16">
        <f>IF(Q80="","",Q80*IFERROR(VLOOKUP($A80&amp;"|Oct",Lists!$J:$L,2,FALSE),0)*IFERROR(VLOOKUP($A80&amp;"|Oct",Lists!$J:$L,3,FALSE),0))</f>
        <v/>
      </c>
      <c r="AD80" s="16">
        <f>IF(R80="","",R80*IFERROR(VLOOKUP($A80&amp;"|Nov",Lists!$J:$L,2,FALSE),0)*IFERROR(VLOOKUP($A80&amp;"|Nov",Lists!$J:$L,3,FALSE),0))</f>
        <v/>
      </c>
      <c r="AE80" s="16">
        <f>IF(S80="","",S80*IFERROR(VLOOKUP($A80&amp;"|Dec",Lists!$J:$L,2,FALSE),0)*IFERROR(VLOOKUP($A80&amp;"|Dec",Lists!$J:$L,3,FALSE),0))</f>
        <v/>
      </c>
    </row>
    <row r="81">
      <c r="T81" s="19">
        <f>IF($A81="","",VLOOKUP($A81,DevRateTable,3,FALSE))</f>
        <v/>
      </c>
      <c r="U81" s="16">
        <f>IF(I81="","",I81*IFERROR(VLOOKUP($A81&amp;"|Feb",Lists!$J:$L,2,FALSE),0)*IFERROR(VLOOKUP($A81&amp;"|Feb",Lists!$J:$L,3,FALSE),0))</f>
        <v/>
      </c>
      <c r="V81" s="16">
        <f>IF(J81="","",J81*IFERROR(VLOOKUP($A81&amp;"|Mar",Lists!$J:$L,2,FALSE),0)*IFERROR(VLOOKUP($A81&amp;"|Mar",Lists!$J:$L,3,FALSE),0))</f>
        <v/>
      </c>
      <c r="W81" s="16">
        <f>IF(K81="","",K81*IFERROR(VLOOKUP($A81&amp;"|Apr",Lists!$J:$L,2,FALSE),0)*IFERROR(VLOOKUP($A81&amp;"|Apr",Lists!$J:$L,3,FALSE),0))</f>
        <v/>
      </c>
      <c r="X81" s="16">
        <f>IF(L81="","",L81*IFERROR(VLOOKUP($A81&amp;"|May",Lists!$J:$L,2,FALSE),0)*IFERROR(VLOOKUP($A81&amp;"|May",Lists!$J:$L,3,FALSE),0))</f>
        <v/>
      </c>
      <c r="Y81" s="16">
        <f>IF(M81="","",M81*IFERROR(VLOOKUP($A81&amp;"|Jun",Lists!$J:$L,2,FALSE),0)*IFERROR(VLOOKUP($A81&amp;"|Jun",Lists!$J:$L,3,FALSE),0))</f>
        <v/>
      </c>
      <c r="Z81" s="16">
        <f>IF(N81="","",N81*IFERROR(VLOOKUP($A81&amp;"|Jul",Lists!$J:$L,2,FALSE),0)*IFERROR(VLOOKUP($A81&amp;"|Jul",Lists!$J:$L,3,FALSE),0))</f>
        <v/>
      </c>
      <c r="AA81" s="16">
        <f>IF(O81="","",O81*IFERROR(VLOOKUP($A81&amp;"|Aug",Lists!$J:$L,2,FALSE),0)*IFERROR(VLOOKUP($A81&amp;"|Aug",Lists!$J:$L,3,FALSE),0))</f>
        <v/>
      </c>
      <c r="AB81" s="16">
        <f>IF(P81="","",P81*IFERROR(VLOOKUP($A81&amp;"|Sep",Lists!$J:$L,2,FALSE),0)*IFERROR(VLOOKUP($A81&amp;"|Sep",Lists!$J:$L,3,FALSE),0))</f>
        <v/>
      </c>
      <c r="AC81" s="16">
        <f>IF(Q81="","",Q81*IFERROR(VLOOKUP($A81&amp;"|Oct",Lists!$J:$L,2,FALSE),0)*IFERROR(VLOOKUP($A81&amp;"|Oct",Lists!$J:$L,3,FALSE),0))</f>
        <v/>
      </c>
      <c r="AD81" s="16">
        <f>IF(R81="","",R81*IFERROR(VLOOKUP($A81&amp;"|Nov",Lists!$J:$L,2,FALSE),0)*IFERROR(VLOOKUP($A81&amp;"|Nov",Lists!$J:$L,3,FALSE),0))</f>
        <v/>
      </c>
      <c r="AE81" s="16">
        <f>IF(S81="","",S81*IFERROR(VLOOKUP($A81&amp;"|Dec",Lists!$J:$L,2,FALSE),0)*IFERROR(VLOOKUP($A81&amp;"|Dec",Lists!$J:$L,3,FALSE),0))</f>
        <v/>
      </c>
    </row>
    <row r="82">
      <c r="T82" s="19">
        <f>IF($A82="","",VLOOKUP($A82,DevRateTable,3,FALSE))</f>
        <v/>
      </c>
      <c r="U82" s="16">
        <f>IF(I82="","",I82*IFERROR(VLOOKUP($A82&amp;"|Feb",Lists!$J:$L,2,FALSE),0)*IFERROR(VLOOKUP($A82&amp;"|Feb",Lists!$J:$L,3,FALSE),0))</f>
        <v/>
      </c>
      <c r="V82" s="16">
        <f>IF(J82="","",J82*IFERROR(VLOOKUP($A82&amp;"|Mar",Lists!$J:$L,2,FALSE),0)*IFERROR(VLOOKUP($A82&amp;"|Mar",Lists!$J:$L,3,FALSE),0))</f>
        <v/>
      </c>
      <c r="W82" s="16">
        <f>IF(K82="","",K82*IFERROR(VLOOKUP($A82&amp;"|Apr",Lists!$J:$L,2,FALSE),0)*IFERROR(VLOOKUP($A82&amp;"|Apr",Lists!$J:$L,3,FALSE),0))</f>
        <v/>
      </c>
      <c r="X82" s="16">
        <f>IF(L82="","",L82*IFERROR(VLOOKUP($A82&amp;"|May",Lists!$J:$L,2,FALSE),0)*IFERROR(VLOOKUP($A82&amp;"|May",Lists!$J:$L,3,FALSE),0))</f>
        <v/>
      </c>
      <c r="Y82" s="16">
        <f>IF(M82="","",M82*IFERROR(VLOOKUP($A82&amp;"|Jun",Lists!$J:$L,2,FALSE),0)*IFERROR(VLOOKUP($A82&amp;"|Jun",Lists!$J:$L,3,FALSE),0))</f>
        <v/>
      </c>
      <c r="Z82" s="16">
        <f>IF(N82="","",N82*IFERROR(VLOOKUP($A82&amp;"|Jul",Lists!$J:$L,2,FALSE),0)*IFERROR(VLOOKUP($A82&amp;"|Jul",Lists!$J:$L,3,FALSE),0))</f>
        <v/>
      </c>
      <c r="AA82" s="16">
        <f>IF(O82="","",O82*IFERROR(VLOOKUP($A82&amp;"|Aug",Lists!$J:$L,2,FALSE),0)*IFERROR(VLOOKUP($A82&amp;"|Aug",Lists!$J:$L,3,FALSE),0))</f>
        <v/>
      </c>
      <c r="AB82" s="16">
        <f>IF(P82="","",P82*IFERROR(VLOOKUP($A82&amp;"|Sep",Lists!$J:$L,2,FALSE),0)*IFERROR(VLOOKUP($A82&amp;"|Sep",Lists!$J:$L,3,FALSE),0))</f>
        <v/>
      </c>
      <c r="AC82" s="16">
        <f>IF(Q82="","",Q82*IFERROR(VLOOKUP($A82&amp;"|Oct",Lists!$J:$L,2,FALSE),0)*IFERROR(VLOOKUP($A82&amp;"|Oct",Lists!$J:$L,3,FALSE),0))</f>
        <v/>
      </c>
      <c r="AD82" s="16">
        <f>IF(R82="","",R82*IFERROR(VLOOKUP($A82&amp;"|Nov",Lists!$J:$L,2,FALSE),0)*IFERROR(VLOOKUP($A82&amp;"|Nov",Lists!$J:$L,3,FALSE),0))</f>
        <v/>
      </c>
      <c r="AE82" s="16">
        <f>IF(S82="","",S82*IFERROR(VLOOKUP($A82&amp;"|Dec",Lists!$J:$L,2,FALSE),0)*IFERROR(VLOOKUP($A82&amp;"|Dec",Lists!$J:$L,3,FALSE),0))</f>
        <v/>
      </c>
    </row>
    <row r="83">
      <c r="T83" s="19">
        <f>IF($A83="","",VLOOKUP($A83,DevRateTable,3,FALSE))</f>
        <v/>
      </c>
      <c r="U83" s="16">
        <f>IF(I83="","",I83*IFERROR(VLOOKUP($A83&amp;"|Feb",Lists!$J:$L,2,FALSE),0)*IFERROR(VLOOKUP($A83&amp;"|Feb",Lists!$J:$L,3,FALSE),0))</f>
        <v/>
      </c>
      <c r="V83" s="16">
        <f>IF(J83="","",J83*IFERROR(VLOOKUP($A83&amp;"|Mar",Lists!$J:$L,2,FALSE),0)*IFERROR(VLOOKUP($A83&amp;"|Mar",Lists!$J:$L,3,FALSE),0))</f>
        <v/>
      </c>
      <c r="W83" s="16">
        <f>IF(K83="","",K83*IFERROR(VLOOKUP($A83&amp;"|Apr",Lists!$J:$L,2,FALSE),0)*IFERROR(VLOOKUP($A83&amp;"|Apr",Lists!$J:$L,3,FALSE),0))</f>
        <v/>
      </c>
      <c r="X83" s="16">
        <f>IF(L83="","",L83*IFERROR(VLOOKUP($A83&amp;"|May",Lists!$J:$L,2,FALSE),0)*IFERROR(VLOOKUP($A83&amp;"|May",Lists!$J:$L,3,FALSE),0))</f>
        <v/>
      </c>
      <c r="Y83" s="16">
        <f>IF(M83="","",M83*IFERROR(VLOOKUP($A83&amp;"|Jun",Lists!$J:$L,2,FALSE),0)*IFERROR(VLOOKUP($A83&amp;"|Jun",Lists!$J:$L,3,FALSE),0))</f>
        <v/>
      </c>
      <c r="Z83" s="16">
        <f>IF(N83="","",N83*IFERROR(VLOOKUP($A83&amp;"|Jul",Lists!$J:$L,2,FALSE),0)*IFERROR(VLOOKUP($A83&amp;"|Jul",Lists!$J:$L,3,FALSE),0))</f>
        <v/>
      </c>
      <c r="AA83" s="16">
        <f>IF(O83="","",O83*IFERROR(VLOOKUP($A83&amp;"|Aug",Lists!$J:$L,2,FALSE),0)*IFERROR(VLOOKUP($A83&amp;"|Aug",Lists!$J:$L,3,FALSE),0))</f>
        <v/>
      </c>
      <c r="AB83" s="16">
        <f>IF(P83="","",P83*IFERROR(VLOOKUP($A83&amp;"|Sep",Lists!$J:$L,2,FALSE),0)*IFERROR(VLOOKUP($A83&amp;"|Sep",Lists!$J:$L,3,FALSE),0))</f>
        <v/>
      </c>
      <c r="AC83" s="16">
        <f>IF(Q83="","",Q83*IFERROR(VLOOKUP($A83&amp;"|Oct",Lists!$J:$L,2,FALSE),0)*IFERROR(VLOOKUP($A83&amp;"|Oct",Lists!$J:$L,3,FALSE),0))</f>
        <v/>
      </c>
      <c r="AD83" s="16">
        <f>IF(R83="","",R83*IFERROR(VLOOKUP($A83&amp;"|Nov",Lists!$J:$L,2,FALSE),0)*IFERROR(VLOOKUP($A83&amp;"|Nov",Lists!$J:$L,3,FALSE),0))</f>
        <v/>
      </c>
      <c r="AE83" s="16">
        <f>IF(S83="","",S83*IFERROR(VLOOKUP($A83&amp;"|Dec",Lists!$J:$L,2,FALSE),0)*IFERROR(VLOOKUP($A83&amp;"|Dec",Lists!$J:$L,3,FALSE),0))</f>
        <v/>
      </c>
    </row>
    <row r="84">
      <c r="T84" s="19">
        <f>IF($A84="","",VLOOKUP($A84,DevRateTable,3,FALSE))</f>
        <v/>
      </c>
      <c r="U84" s="16">
        <f>IF(I84="","",I84*IFERROR(VLOOKUP($A84&amp;"|Feb",Lists!$J:$L,2,FALSE),0)*IFERROR(VLOOKUP($A84&amp;"|Feb",Lists!$J:$L,3,FALSE),0))</f>
        <v/>
      </c>
      <c r="V84" s="16">
        <f>IF(J84="","",J84*IFERROR(VLOOKUP($A84&amp;"|Mar",Lists!$J:$L,2,FALSE),0)*IFERROR(VLOOKUP($A84&amp;"|Mar",Lists!$J:$L,3,FALSE),0))</f>
        <v/>
      </c>
      <c r="W84" s="16">
        <f>IF(K84="","",K84*IFERROR(VLOOKUP($A84&amp;"|Apr",Lists!$J:$L,2,FALSE),0)*IFERROR(VLOOKUP($A84&amp;"|Apr",Lists!$J:$L,3,FALSE),0))</f>
        <v/>
      </c>
      <c r="X84" s="16">
        <f>IF(L84="","",L84*IFERROR(VLOOKUP($A84&amp;"|May",Lists!$J:$L,2,FALSE),0)*IFERROR(VLOOKUP($A84&amp;"|May",Lists!$J:$L,3,FALSE),0))</f>
        <v/>
      </c>
      <c r="Y84" s="16">
        <f>IF(M84="","",M84*IFERROR(VLOOKUP($A84&amp;"|Jun",Lists!$J:$L,2,FALSE),0)*IFERROR(VLOOKUP($A84&amp;"|Jun",Lists!$J:$L,3,FALSE),0))</f>
        <v/>
      </c>
      <c r="Z84" s="16">
        <f>IF(N84="","",N84*IFERROR(VLOOKUP($A84&amp;"|Jul",Lists!$J:$L,2,FALSE),0)*IFERROR(VLOOKUP($A84&amp;"|Jul",Lists!$J:$L,3,FALSE),0))</f>
        <v/>
      </c>
      <c r="AA84" s="16">
        <f>IF(O84="","",O84*IFERROR(VLOOKUP($A84&amp;"|Aug",Lists!$J:$L,2,FALSE),0)*IFERROR(VLOOKUP($A84&amp;"|Aug",Lists!$J:$L,3,FALSE),0))</f>
        <v/>
      </c>
      <c r="AB84" s="16">
        <f>IF(P84="","",P84*IFERROR(VLOOKUP($A84&amp;"|Sep",Lists!$J:$L,2,FALSE),0)*IFERROR(VLOOKUP($A84&amp;"|Sep",Lists!$J:$L,3,FALSE),0))</f>
        <v/>
      </c>
      <c r="AC84" s="16">
        <f>IF(Q84="","",Q84*IFERROR(VLOOKUP($A84&amp;"|Oct",Lists!$J:$L,2,FALSE),0)*IFERROR(VLOOKUP($A84&amp;"|Oct",Lists!$J:$L,3,FALSE),0))</f>
        <v/>
      </c>
      <c r="AD84" s="16">
        <f>IF(R84="","",R84*IFERROR(VLOOKUP($A84&amp;"|Nov",Lists!$J:$L,2,FALSE),0)*IFERROR(VLOOKUP($A84&amp;"|Nov",Lists!$J:$L,3,FALSE),0))</f>
        <v/>
      </c>
      <c r="AE84" s="16">
        <f>IF(S84="","",S84*IFERROR(VLOOKUP($A84&amp;"|Dec",Lists!$J:$L,2,FALSE),0)*IFERROR(VLOOKUP($A84&amp;"|Dec",Lists!$J:$L,3,FALSE),0))</f>
        <v/>
      </c>
    </row>
    <row r="85">
      <c r="T85" s="19">
        <f>IF($A85="","",VLOOKUP($A85,DevRateTable,3,FALSE))</f>
        <v/>
      </c>
      <c r="U85" s="16">
        <f>IF(I85="","",I85*IFERROR(VLOOKUP($A85&amp;"|Feb",Lists!$J:$L,2,FALSE),0)*IFERROR(VLOOKUP($A85&amp;"|Feb",Lists!$J:$L,3,FALSE),0))</f>
        <v/>
      </c>
      <c r="V85" s="16">
        <f>IF(J85="","",J85*IFERROR(VLOOKUP($A85&amp;"|Mar",Lists!$J:$L,2,FALSE),0)*IFERROR(VLOOKUP($A85&amp;"|Mar",Lists!$J:$L,3,FALSE),0))</f>
        <v/>
      </c>
      <c r="W85" s="16">
        <f>IF(K85="","",K85*IFERROR(VLOOKUP($A85&amp;"|Apr",Lists!$J:$L,2,FALSE),0)*IFERROR(VLOOKUP($A85&amp;"|Apr",Lists!$J:$L,3,FALSE),0))</f>
        <v/>
      </c>
      <c r="X85" s="16">
        <f>IF(L85="","",L85*IFERROR(VLOOKUP($A85&amp;"|May",Lists!$J:$L,2,FALSE),0)*IFERROR(VLOOKUP($A85&amp;"|May",Lists!$J:$L,3,FALSE),0))</f>
        <v/>
      </c>
      <c r="Y85" s="16">
        <f>IF(M85="","",M85*IFERROR(VLOOKUP($A85&amp;"|Jun",Lists!$J:$L,2,FALSE),0)*IFERROR(VLOOKUP($A85&amp;"|Jun",Lists!$J:$L,3,FALSE),0))</f>
        <v/>
      </c>
      <c r="Z85" s="16">
        <f>IF(N85="","",N85*IFERROR(VLOOKUP($A85&amp;"|Jul",Lists!$J:$L,2,FALSE),0)*IFERROR(VLOOKUP($A85&amp;"|Jul",Lists!$J:$L,3,FALSE),0))</f>
        <v/>
      </c>
      <c r="AA85" s="16">
        <f>IF(O85="","",O85*IFERROR(VLOOKUP($A85&amp;"|Aug",Lists!$J:$L,2,FALSE),0)*IFERROR(VLOOKUP($A85&amp;"|Aug",Lists!$J:$L,3,FALSE),0))</f>
        <v/>
      </c>
      <c r="AB85" s="16">
        <f>IF(P85="","",P85*IFERROR(VLOOKUP($A85&amp;"|Sep",Lists!$J:$L,2,FALSE),0)*IFERROR(VLOOKUP($A85&amp;"|Sep",Lists!$J:$L,3,FALSE),0))</f>
        <v/>
      </c>
      <c r="AC85" s="16">
        <f>IF(Q85="","",Q85*IFERROR(VLOOKUP($A85&amp;"|Oct",Lists!$J:$L,2,FALSE),0)*IFERROR(VLOOKUP($A85&amp;"|Oct",Lists!$J:$L,3,FALSE),0))</f>
        <v/>
      </c>
      <c r="AD85" s="16">
        <f>IF(R85="","",R85*IFERROR(VLOOKUP($A85&amp;"|Nov",Lists!$J:$L,2,FALSE),0)*IFERROR(VLOOKUP($A85&amp;"|Nov",Lists!$J:$L,3,FALSE),0))</f>
        <v/>
      </c>
      <c r="AE85" s="16">
        <f>IF(S85="","",S85*IFERROR(VLOOKUP($A85&amp;"|Dec",Lists!$J:$L,2,FALSE),0)*IFERROR(VLOOKUP($A85&amp;"|Dec",Lists!$J:$L,3,FALSE),0))</f>
        <v/>
      </c>
    </row>
    <row r="86">
      <c r="T86" s="19">
        <f>IF($A86="","",VLOOKUP($A86,DevRateTable,3,FALSE))</f>
        <v/>
      </c>
      <c r="U86" s="16">
        <f>IF(I86="","",I86*IFERROR(VLOOKUP($A86&amp;"|Feb",Lists!$J:$L,2,FALSE),0)*IFERROR(VLOOKUP($A86&amp;"|Feb",Lists!$J:$L,3,FALSE),0))</f>
        <v/>
      </c>
      <c r="V86" s="16">
        <f>IF(J86="","",J86*IFERROR(VLOOKUP($A86&amp;"|Mar",Lists!$J:$L,2,FALSE),0)*IFERROR(VLOOKUP($A86&amp;"|Mar",Lists!$J:$L,3,FALSE),0))</f>
        <v/>
      </c>
      <c r="W86" s="16">
        <f>IF(K86="","",K86*IFERROR(VLOOKUP($A86&amp;"|Apr",Lists!$J:$L,2,FALSE),0)*IFERROR(VLOOKUP($A86&amp;"|Apr",Lists!$J:$L,3,FALSE),0))</f>
        <v/>
      </c>
      <c r="X86" s="16">
        <f>IF(L86="","",L86*IFERROR(VLOOKUP($A86&amp;"|May",Lists!$J:$L,2,FALSE),0)*IFERROR(VLOOKUP($A86&amp;"|May",Lists!$J:$L,3,FALSE),0))</f>
        <v/>
      </c>
      <c r="Y86" s="16">
        <f>IF(M86="","",M86*IFERROR(VLOOKUP($A86&amp;"|Jun",Lists!$J:$L,2,FALSE),0)*IFERROR(VLOOKUP($A86&amp;"|Jun",Lists!$J:$L,3,FALSE),0))</f>
        <v/>
      </c>
      <c r="Z86" s="16">
        <f>IF(N86="","",N86*IFERROR(VLOOKUP($A86&amp;"|Jul",Lists!$J:$L,2,FALSE),0)*IFERROR(VLOOKUP($A86&amp;"|Jul",Lists!$J:$L,3,FALSE),0))</f>
        <v/>
      </c>
      <c r="AA86" s="16">
        <f>IF(O86="","",O86*IFERROR(VLOOKUP($A86&amp;"|Aug",Lists!$J:$L,2,FALSE),0)*IFERROR(VLOOKUP($A86&amp;"|Aug",Lists!$J:$L,3,FALSE),0))</f>
        <v/>
      </c>
      <c r="AB86" s="16">
        <f>IF(P86="","",P86*IFERROR(VLOOKUP($A86&amp;"|Sep",Lists!$J:$L,2,FALSE),0)*IFERROR(VLOOKUP($A86&amp;"|Sep",Lists!$J:$L,3,FALSE),0))</f>
        <v/>
      </c>
      <c r="AC86" s="16">
        <f>IF(Q86="","",Q86*IFERROR(VLOOKUP($A86&amp;"|Oct",Lists!$J:$L,2,FALSE),0)*IFERROR(VLOOKUP($A86&amp;"|Oct",Lists!$J:$L,3,FALSE),0))</f>
        <v/>
      </c>
      <c r="AD86" s="16">
        <f>IF(R86="","",R86*IFERROR(VLOOKUP($A86&amp;"|Nov",Lists!$J:$L,2,FALSE),0)*IFERROR(VLOOKUP($A86&amp;"|Nov",Lists!$J:$L,3,FALSE),0))</f>
        <v/>
      </c>
      <c r="AE86" s="16">
        <f>IF(S86="","",S86*IFERROR(VLOOKUP($A86&amp;"|Dec",Lists!$J:$L,2,FALSE),0)*IFERROR(VLOOKUP($A86&amp;"|Dec",Lists!$J:$L,3,FALSE),0))</f>
        <v/>
      </c>
    </row>
    <row r="87">
      <c r="T87" s="19">
        <f>IF($A87="","",VLOOKUP($A87,DevRateTable,3,FALSE))</f>
        <v/>
      </c>
      <c r="U87" s="16">
        <f>IF(I87="","",I87*IFERROR(VLOOKUP($A87&amp;"|Feb",Lists!$J:$L,2,FALSE),0)*IFERROR(VLOOKUP($A87&amp;"|Feb",Lists!$J:$L,3,FALSE),0))</f>
        <v/>
      </c>
      <c r="V87" s="16">
        <f>IF(J87="","",J87*IFERROR(VLOOKUP($A87&amp;"|Mar",Lists!$J:$L,2,FALSE),0)*IFERROR(VLOOKUP($A87&amp;"|Mar",Lists!$J:$L,3,FALSE),0))</f>
        <v/>
      </c>
      <c r="W87" s="16">
        <f>IF(K87="","",K87*IFERROR(VLOOKUP($A87&amp;"|Apr",Lists!$J:$L,2,FALSE),0)*IFERROR(VLOOKUP($A87&amp;"|Apr",Lists!$J:$L,3,FALSE),0))</f>
        <v/>
      </c>
      <c r="X87" s="16">
        <f>IF(L87="","",L87*IFERROR(VLOOKUP($A87&amp;"|May",Lists!$J:$L,2,FALSE),0)*IFERROR(VLOOKUP($A87&amp;"|May",Lists!$J:$L,3,FALSE),0))</f>
        <v/>
      </c>
      <c r="Y87" s="16">
        <f>IF(M87="","",M87*IFERROR(VLOOKUP($A87&amp;"|Jun",Lists!$J:$L,2,FALSE),0)*IFERROR(VLOOKUP($A87&amp;"|Jun",Lists!$J:$L,3,FALSE),0))</f>
        <v/>
      </c>
      <c r="Z87" s="16">
        <f>IF(N87="","",N87*IFERROR(VLOOKUP($A87&amp;"|Jul",Lists!$J:$L,2,FALSE),0)*IFERROR(VLOOKUP($A87&amp;"|Jul",Lists!$J:$L,3,FALSE),0))</f>
        <v/>
      </c>
      <c r="AA87" s="16">
        <f>IF(O87="","",O87*IFERROR(VLOOKUP($A87&amp;"|Aug",Lists!$J:$L,2,FALSE),0)*IFERROR(VLOOKUP($A87&amp;"|Aug",Lists!$J:$L,3,FALSE),0))</f>
        <v/>
      </c>
      <c r="AB87" s="16">
        <f>IF(P87="","",P87*IFERROR(VLOOKUP($A87&amp;"|Sep",Lists!$J:$L,2,FALSE),0)*IFERROR(VLOOKUP($A87&amp;"|Sep",Lists!$J:$L,3,FALSE),0))</f>
        <v/>
      </c>
      <c r="AC87" s="16">
        <f>IF(Q87="","",Q87*IFERROR(VLOOKUP($A87&amp;"|Oct",Lists!$J:$L,2,FALSE),0)*IFERROR(VLOOKUP($A87&amp;"|Oct",Lists!$J:$L,3,FALSE),0))</f>
        <v/>
      </c>
      <c r="AD87" s="16">
        <f>IF(R87="","",R87*IFERROR(VLOOKUP($A87&amp;"|Nov",Lists!$J:$L,2,FALSE),0)*IFERROR(VLOOKUP($A87&amp;"|Nov",Lists!$J:$L,3,FALSE),0))</f>
        <v/>
      </c>
      <c r="AE87" s="16">
        <f>IF(S87="","",S87*IFERROR(VLOOKUP($A87&amp;"|Dec",Lists!$J:$L,2,FALSE),0)*IFERROR(VLOOKUP($A87&amp;"|Dec",Lists!$J:$L,3,FALSE),0))</f>
        <v/>
      </c>
    </row>
    <row r="88">
      <c r="T88" s="19">
        <f>IF($A88="","",VLOOKUP($A88,DevRateTable,3,FALSE))</f>
        <v/>
      </c>
      <c r="U88" s="16">
        <f>IF(I88="","",I88*IFERROR(VLOOKUP($A88&amp;"|Feb",Lists!$J:$L,2,FALSE),0)*IFERROR(VLOOKUP($A88&amp;"|Feb",Lists!$J:$L,3,FALSE),0))</f>
        <v/>
      </c>
      <c r="V88" s="16">
        <f>IF(J88="","",J88*IFERROR(VLOOKUP($A88&amp;"|Mar",Lists!$J:$L,2,FALSE),0)*IFERROR(VLOOKUP($A88&amp;"|Mar",Lists!$J:$L,3,FALSE),0))</f>
        <v/>
      </c>
      <c r="W88" s="16">
        <f>IF(K88="","",K88*IFERROR(VLOOKUP($A88&amp;"|Apr",Lists!$J:$L,2,FALSE),0)*IFERROR(VLOOKUP($A88&amp;"|Apr",Lists!$J:$L,3,FALSE),0))</f>
        <v/>
      </c>
      <c r="X88" s="16">
        <f>IF(L88="","",L88*IFERROR(VLOOKUP($A88&amp;"|May",Lists!$J:$L,2,FALSE),0)*IFERROR(VLOOKUP($A88&amp;"|May",Lists!$J:$L,3,FALSE),0))</f>
        <v/>
      </c>
      <c r="Y88" s="16">
        <f>IF(M88="","",M88*IFERROR(VLOOKUP($A88&amp;"|Jun",Lists!$J:$L,2,FALSE),0)*IFERROR(VLOOKUP($A88&amp;"|Jun",Lists!$J:$L,3,FALSE),0))</f>
        <v/>
      </c>
      <c r="Z88" s="16">
        <f>IF(N88="","",N88*IFERROR(VLOOKUP($A88&amp;"|Jul",Lists!$J:$L,2,FALSE),0)*IFERROR(VLOOKUP($A88&amp;"|Jul",Lists!$J:$L,3,FALSE),0))</f>
        <v/>
      </c>
      <c r="AA88" s="16">
        <f>IF(O88="","",O88*IFERROR(VLOOKUP($A88&amp;"|Aug",Lists!$J:$L,2,FALSE),0)*IFERROR(VLOOKUP($A88&amp;"|Aug",Lists!$J:$L,3,FALSE),0))</f>
        <v/>
      </c>
      <c r="AB88" s="16">
        <f>IF(P88="","",P88*IFERROR(VLOOKUP($A88&amp;"|Sep",Lists!$J:$L,2,FALSE),0)*IFERROR(VLOOKUP($A88&amp;"|Sep",Lists!$J:$L,3,FALSE),0))</f>
        <v/>
      </c>
      <c r="AC88" s="16">
        <f>IF(Q88="","",Q88*IFERROR(VLOOKUP($A88&amp;"|Oct",Lists!$J:$L,2,FALSE),0)*IFERROR(VLOOKUP($A88&amp;"|Oct",Lists!$J:$L,3,FALSE),0))</f>
        <v/>
      </c>
      <c r="AD88" s="16">
        <f>IF(R88="","",R88*IFERROR(VLOOKUP($A88&amp;"|Nov",Lists!$J:$L,2,FALSE),0)*IFERROR(VLOOKUP($A88&amp;"|Nov",Lists!$J:$L,3,FALSE),0))</f>
        <v/>
      </c>
      <c r="AE88" s="16">
        <f>IF(S88="","",S88*IFERROR(VLOOKUP($A88&amp;"|Dec",Lists!$J:$L,2,FALSE),0)*IFERROR(VLOOKUP($A88&amp;"|Dec",Lists!$J:$L,3,FALSE),0))</f>
        <v/>
      </c>
    </row>
    <row r="89">
      <c r="T89" s="19">
        <f>IF($A89="","",VLOOKUP($A89,DevRateTable,3,FALSE))</f>
        <v/>
      </c>
      <c r="U89" s="16">
        <f>IF(I89="","",I89*IFERROR(VLOOKUP($A89&amp;"|Feb",Lists!$J:$L,2,FALSE),0)*IFERROR(VLOOKUP($A89&amp;"|Feb",Lists!$J:$L,3,FALSE),0))</f>
        <v/>
      </c>
      <c r="V89" s="16">
        <f>IF(J89="","",J89*IFERROR(VLOOKUP($A89&amp;"|Mar",Lists!$J:$L,2,FALSE),0)*IFERROR(VLOOKUP($A89&amp;"|Mar",Lists!$J:$L,3,FALSE),0))</f>
        <v/>
      </c>
      <c r="W89" s="16">
        <f>IF(K89="","",K89*IFERROR(VLOOKUP($A89&amp;"|Apr",Lists!$J:$L,2,FALSE),0)*IFERROR(VLOOKUP($A89&amp;"|Apr",Lists!$J:$L,3,FALSE),0))</f>
        <v/>
      </c>
      <c r="X89" s="16">
        <f>IF(L89="","",L89*IFERROR(VLOOKUP($A89&amp;"|May",Lists!$J:$L,2,FALSE),0)*IFERROR(VLOOKUP($A89&amp;"|May",Lists!$J:$L,3,FALSE),0))</f>
        <v/>
      </c>
      <c r="Y89" s="16">
        <f>IF(M89="","",M89*IFERROR(VLOOKUP($A89&amp;"|Jun",Lists!$J:$L,2,FALSE),0)*IFERROR(VLOOKUP($A89&amp;"|Jun",Lists!$J:$L,3,FALSE),0))</f>
        <v/>
      </c>
      <c r="Z89" s="16">
        <f>IF(N89="","",N89*IFERROR(VLOOKUP($A89&amp;"|Jul",Lists!$J:$L,2,FALSE),0)*IFERROR(VLOOKUP($A89&amp;"|Jul",Lists!$J:$L,3,FALSE),0))</f>
        <v/>
      </c>
      <c r="AA89" s="16">
        <f>IF(O89="","",O89*IFERROR(VLOOKUP($A89&amp;"|Aug",Lists!$J:$L,2,FALSE),0)*IFERROR(VLOOKUP($A89&amp;"|Aug",Lists!$J:$L,3,FALSE),0))</f>
        <v/>
      </c>
      <c r="AB89" s="16">
        <f>IF(P89="","",P89*IFERROR(VLOOKUP($A89&amp;"|Sep",Lists!$J:$L,2,FALSE),0)*IFERROR(VLOOKUP($A89&amp;"|Sep",Lists!$J:$L,3,FALSE),0))</f>
        <v/>
      </c>
      <c r="AC89" s="16">
        <f>IF(Q89="","",Q89*IFERROR(VLOOKUP($A89&amp;"|Oct",Lists!$J:$L,2,FALSE),0)*IFERROR(VLOOKUP($A89&amp;"|Oct",Lists!$J:$L,3,FALSE),0))</f>
        <v/>
      </c>
      <c r="AD89" s="16">
        <f>IF(R89="","",R89*IFERROR(VLOOKUP($A89&amp;"|Nov",Lists!$J:$L,2,FALSE),0)*IFERROR(VLOOKUP($A89&amp;"|Nov",Lists!$J:$L,3,FALSE),0))</f>
        <v/>
      </c>
      <c r="AE89" s="16">
        <f>IF(S89="","",S89*IFERROR(VLOOKUP($A89&amp;"|Dec",Lists!$J:$L,2,FALSE),0)*IFERROR(VLOOKUP($A89&amp;"|Dec",Lists!$J:$L,3,FALSE),0))</f>
        <v/>
      </c>
    </row>
    <row r="90">
      <c r="T90" s="19">
        <f>IF($A90="","",VLOOKUP($A90,DevRateTable,3,FALSE))</f>
        <v/>
      </c>
      <c r="U90" s="16">
        <f>IF(I90="","",I90*IFERROR(VLOOKUP($A90&amp;"|Feb",Lists!$J:$L,2,FALSE),0)*IFERROR(VLOOKUP($A90&amp;"|Feb",Lists!$J:$L,3,FALSE),0))</f>
        <v/>
      </c>
      <c r="V90" s="16">
        <f>IF(J90="","",J90*IFERROR(VLOOKUP($A90&amp;"|Mar",Lists!$J:$L,2,FALSE),0)*IFERROR(VLOOKUP($A90&amp;"|Mar",Lists!$J:$L,3,FALSE),0))</f>
        <v/>
      </c>
      <c r="W90" s="16">
        <f>IF(K90="","",K90*IFERROR(VLOOKUP($A90&amp;"|Apr",Lists!$J:$L,2,FALSE),0)*IFERROR(VLOOKUP($A90&amp;"|Apr",Lists!$J:$L,3,FALSE),0))</f>
        <v/>
      </c>
      <c r="X90" s="16">
        <f>IF(L90="","",L90*IFERROR(VLOOKUP($A90&amp;"|May",Lists!$J:$L,2,FALSE),0)*IFERROR(VLOOKUP($A90&amp;"|May",Lists!$J:$L,3,FALSE),0))</f>
        <v/>
      </c>
      <c r="Y90" s="16">
        <f>IF(M90="","",M90*IFERROR(VLOOKUP($A90&amp;"|Jun",Lists!$J:$L,2,FALSE),0)*IFERROR(VLOOKUP($A90&amp;"|Jun",Lists!$J:$L,3,FALSE),0))</f>
        <v/>
      </c>
      <c r="Z90" s="16">
        <f>IF(N90="","",N90*IFERROR(VLOOKUP($A90&amp;"|Jul",Lists!$J:$L,2,FALSE),0)*IFERROR(VLOOKUP($A90&amp;"|Jul",Lists!$J:$L,3,FALSE),0))</f>
        <v/>
      </c>
      <c r="AA90" s="16">
        <f>IF(O90="","",O90*IFERROR(VLOOKUP($A90&amp;"|Aug",Lists!$J:$L,2,FALSE),0)*IFERROR(VLOOKUP($A90&amp;"|Aug",Lists!$J:$L,3,FALSE),0))</f>
        <v/>
      </c>
      <c r="AB90" s="16">
        <f>IF(P90="","",P90*IFERROR(VLOOKUP($A90&amp;"|Sep",Lists!$J:$L,2,FALSE),0)*IFERROR(VLOOKUP($A90&amp;"|Sep",Lists!$J:$L,3,FALSE),0))</f>
        <v/>
      </c>
      <c r="AC90" s="16">
        <f>IF(Q90="","",Q90*IFERROR(VLOOKUP($A90&amp;"|Oct",Lists!$J:$L,2,FALSE),0)*IFERROR(VLOOKUP($A90&amp;"|Oct",Lists!$J:$L,3,FALSE),0))</f>
        <v/>
      </c>
      <c r="AD90" s="16">
        <f>IF(R90="","",R90*IFERROR(VLOOKUP($A90&amp;"|Nov",Lists!$J:$L,2,FALSE),0)*IFERROR(VLOOKUP($A90&amp;"|Nov",Lists!$J:$L,3,FALSE),0))</f>
        <v/>
      </c>
      <c r="AE90" s="16">
        <f>IF(S90="","",S90*IFERROR(VLOOKUP($A90&amp;"|Dec",Lists!$J:$L,2,FALSE),0)*IFERROR(VLOOKUP($A90&amp;"|Dec",Lists!$J:$L,3,FALSE),0))</f>
        <v/>
      </c>
    </row>
    <row r="91">
      <c r="T91" s="19">
        <f>IF($A91="","",VLOOKUP($A91,DevRateTable,3,FALSE))</f>
        <v/>
      </c>
      <c r="U91" s="16">
        <f>IF(I91="","",I91*IFERROR(VLOOKUP($A91&amp;"|Feb",Lists!$J:$L,2,FALSE),0)*IFERROR(VLOOKUP($A91&amp;"|Feb",Lists!$J:$L,3,FALSE),0))</f>
        <v/>
      </c>
      <c r="V91" s="16">
        <f>IF(J91="","",J91*IFERROR(VLOOKUP($A91&amp;"|Mar",Lists!$J:$L,2,FALSE),0)*IFERROR(VLOOKUP($A91&amp;"|Mar",Lists!$J:$L,3,FALSE),0))</f>
        <v/>
      </c>
      <c r="W91" s="16">
        <f>IF(K91="","",K91*IFERROR(VLOOKUP($A91&amp;"|Apr",Lists!$J:$L,2,FALSE),0)*IFERROR(VLOOKUP($A91&amp;"|Apr",Lists!$J:$L,3,FALSE),0))</f>
        <v/>
      </c>
      <c r="X91" s="16">
        <f>IF(L91="","",L91*IFERROR(VLOOKUP($A91&amp;"|May",Lists!$J:$L,2,FALSE),0)*IFERROR(VLOOKUP($A91&amp;"|May",Lists!$J:$L,3,FALSE),0))</f>
        <v/>
      </c>
      <c r="Y91" s="16">
        <f>IF(M91="","",M91*IFERROR(VLOOKUP($A91&amp;"|Jun",Lists!$J:$L,2,FALSE),0)*IFERROR(VLOOKUP($A91&amp;"|Jun",Lists!$J:$L,3,FALSE),0))</f>
        <v/>
      </c>
      <c r="Z91" s="16">
        <f>IF(N91="","",N91*IFERROR(VLOOKUP($A91&amp;"|Jul",Lists!$J:$L,2,FALSE),0)*IFERROR(VLOOKUP($A91&amp;"|Jul",Lists!$J:$L,3,FALSE),0))</f>
        <v/>
      </c>
      <c r="AA91" s="16">
        <f>IF(O91="","",O91*IFERROR(VLOOKUP($A91&amp;"|Aug",Lists!$J:$L,2,FALSE),0)*IFERROR(VLOOKUP($A91&amp;"|Aug",Lists!$J:$L,3,FALSE),0))</f>
        <v/>
      </c>
      <c r="AB91" s="16">
        <f>IF(P91="","",P91*IFERROR(VLOOKUP($A91&amp;"|Sep",Lists!$J:$L,2,FALSE),0)*IFERROR(VLOOKUP($A91&amp;"|Sep",Lists!$J:$L,3,FALSE),0))</f>
        <v/>
      </c>
      <c r="AC91" s="16">
        <f>IF(Q91="","",Q91*IFERROR(VLOOKUP($A91&amp;"|Oct",Lists!$J:$L,2,FALSE),0)*IFERROR(VLOOKUP($A91&amp;"|Oct",Lists!$J:$L,3,FALSE),0))</f>
        <v/>
      </c>
      <c r="AD91" s="16">
        <f>IF(R91="","",R91*IFERROR(VLOOKUP($A91&amp;"|Nov",Lists!$J:$L,2,FALSE),0)*IFERROR(VLOOKUP($A91&amp;"|Nov",Lists!$J:$L,3,FALSE),0))</f>
        <v/>
      </c>
      <c r="AE91" s="16">
        <f>IF(S91="","",S91*IFERROR(VLOOKUP($A91&amp;"|Dec",Lists!$J:$L,2,FALSE),0)*IFERROR(VLOOKUP($A91&amp;"|Dec",Lists!$J:$L,3,FALSE),0))</f>
        <v/>
      </c>
    </row>
    <row r="92">
      <c r="T92" s="19">
        <f>IF($A92="","",VLOOKUP($A92,DevRateTable,3,FALSE))</f>
        <v/>
      </c>
      <c r="U92" s="16">
        <f>IF(I92="","",I92*IFERROR(VLOOKUP($A92&amp;"|Feb",Lists!$J:$L,2,FALSE),0)*IFERROR(VLOOKUP($A92&amp;"|Feb",Lists!$J:$L,3,FALSE),0))</f>
        <v/>
      </c>
      <c r="V92" s="16">
        <f>IF(J92="","",J92*IFERROR(VLOOKUP($A92&amp;"|Mar",Lists!$J:$L,2,FALSE),0)*IFERROR(VLOOKUP($A92&amp;"|Mar",Lists!$J:$L,3,FALSE),0))</f>
        <v/>
      </c>
      <c r="W92" s="16">
        <f>IF(K92="","",K92*IFERROR(VLOOKUP($A92&amp;"|Apr",Lists!$J:$L,2,FALSE),0)*IFERROR(VLOOKUP($A92&amp;"|Apr",Lists!$J:$L,3,FALSE),0))</f>
        <v/>
      </c>
      <c r="X92" s="16">
        <f>IF(L92="","",L92*IFERROR(VLOOKUP($A92&amp;"|May",Lists!$J:$L,2,FALSE),0)*IFERROR(VLOOKUP($A92&amp;"|May",Lists!$J:$L,3,FALSE),0))</f>
        <v/>
      </c>
      <c r="Y92" s="16">
        <f>IF(M92="","",M92*IFERROR(VLOOKUP($A92&amp;"|Jun",Lists!$J:$L,2,FALSE),0)*IFERROR(VLOOKUP($A92&amp;"|Jun",Lists!$J:$L,3,FALSE),0))</f>
        <v/>
      </c>
      <c r="Z92" s="16">
        <f>IF(N92="","",N92*IFERROR(VLOOKUP($A92&amp;"|Jul",Lists!$J:$L,2,FALSE),0)*IFERROR(VLOOKUP($A92&amp;"|Jul",Lists!$J:$L,3,FALSE),0))</f>
        <v/>
      </c>
      <c r="AA92" s="16">
        <f>IF(O92="","",O92*IFERROR(VLOOKUP($A92&amp;"|Aug",Lists!$J:$L,2,FALSE),0)*IFERROR(VLOOKUP($A92&amp;"|Aug",Lists!$J:$L,3,FALSE),0))</f>
        <v/>
      </c>
      <c r="AB92" s="16">
        <f>IF(P92="","",P92*IFERROR(VLOOKUP($A92&amp;"|Sep",Lists!$J:$L,2,FALSE),0)*IFERROR(VLOOKUP($A92&amp;"|Sep",Lists!$J:$L,3,FALSE),0))</f>
        <v/>
      </c>
      <c r="AC92" s="16">
        <f>IF(Q92="","",Q92*IFERROR(VLOOKUP($A92&amp;"|Oct",Lists!$J:$L,2,FALSE),0)*IFERROR(VLOOKUP($A92&amp;"|Oct",Lists!$J:$L,3,FALSE),0))</f>
        <v/>
      </c>
      <c r="AD92" s="16">
        <f>IF(R92="","",R92*IFERROR(VLOOKUP($A92&amp;"|Nov",Lists!$J:$L,2,FALSE),0)*IFERROR(VLOOKUP($A92&amp;"|Nov",Lists!$J:$L,3,FALSE),0))</f>
        <v/>
      </c>
      <c r="AE92" s="16">
        <f>IF(S92="","",S92*IFERROR(VLOOKUP($A92&amp;"|Dec",Lists!$J:$L,2,FALSE),0)*IFERROR(VLOOKUP($A92&amp;"|Dec",Lists!$J:$L,3,FALSE),0))</f>
        <v/>
      </c>
    </row>
    <row r="93">
      <c r="T93" s="19">
        <f>IF($A93="","",VLOOKUP($A93,DevRateTable,3,FALSE))</f>
        <v/>
      </c>
      <c r="U93" s="16">
        <f>IF(I93="","",I93*IFERROR(VLOOKUP($A93&amp;"|Feb",Lists!$J:$L,2,FALSE),0)*IFERROR(VLOOKUP($A93&amp;"|Feb",Lists!$J:$L,3,FALSE),0))</f>
        <v/>
      </c>
      <c r="V93" s="16">
        <f>IF(J93="","",J93*IFERROR(VLOOKUP($A93&amp;"|Mar",Lists!$J:$L,2,FALSE),0)*IFERROR(VLOOKUP($A93&amp;"|Mar",Lists!$J:$L,3,FALSE),0))</f>
        <v/>
      </c>
      <c r="W93" s="16">
        <f>IF(K93="","",K93*IFERROR(VLOOKUP($A93&amp;"|Apr",Lists!$J:$L,2,FALSE),0)*IFERROR(VLOOKUP($A93&amp;"|Apr",Lists!$J:$L,3,FALSE),0))</f>
        <v/>
      </c>
      <c r="X93" s="16">
        <f>IF(L93="","",L93*IFERROR(VLOOKUP($A93&amp;"|May",Lists!$J:$L,2,FALSE),0)*IFERROR(VLOOKUP($A93&amp;"|May",Lists!$J:$L,3,FALSE),0))</f>
        <v/>
      </c>
      <c r="Y93" s="16">
        <f>IF(M93="","",M93*IFERROR(VLOOKUP($A93&amp;"|Jun",Lists!$J:$L,2,FALSE),0)*IFERROR(VLOOKUP($A93&amp;"|Jun",Lists!$J:$L,3,FALSE),0))</f>
        <v/>
      </c>
      <c r="Z93" s="16">
        <f>IF(N93="","",N93*IFERROR(VLOOKUP($A93&amp;"|Jul",Lists!$J:$L,2,FALSE),0)*IFERROR(VLOOKUP($A93&amp;"|Jul",Lists!$J:$L,3,FALSE),0))</f>
        <v/>
      </c>
      <c r="AA93" s="16">
        <f>IF(O93="","",O93*IFERROR(VLOOKUP($A93&amp;"|Aug",Lists!$J:$L,2,FALSE),0)*IFERROR(VLOOKUP($A93&amp;"|Aug",Lists!$J:$L,3,FALSE),0))</f>
        <v/>
      </c>
      <c r="AB93" s="16">
        <f>IF(P93="","",P93*IFERROR(VLOOKUP($A93&amp;"|Sep",Lists!$J:$L,2,FALSE),0)*IFERROR(VLOOKUP($A93&amp;"|Sep",Lists!$J:$L,3,FALSE),0))</f>
        <v/>
      </c>
      <c r="AC93" s="16">
        <f>IF(Q93="","",Q93*IFERROR(VLOOKUP($A93&amp;"|Oct",Lists!$J:$L,2,FALSE),0)*IFERROR(VLOOKUP($A93&amp;"|Oct",Lists!$J:$L,3,FALSE),0))</f>
        <v/>
      </c>
      <c r="AD93" s="16">
        <f>IF(R93="","",R93*IFERROR(VLOOKUP($A93&amp;"|Nov",Lists!$J:$L,2,FALSE),0)*IFERROR(VLOOKUP($A93&amp;"|Nov",Lists!$J:$L,3,FALSE),0))</f>
        <v/>
      </c>
      <c r="AE93" s="16">
        <f>IF(S93="","",S93*IFERROR(VLOOKUP($A93&amp;"|Dec",Lists!$J:$L,2,FALSE),0)*IFERROR(VLOOKUP($A93&amp;"|Dec",Lists!$J:$L,3,FALSE),0))</f>
        <v/>
      </c>
    </row>
    <row r="94">
      <c r="T94" s="19">
        <f>IF($A94="","",VLOOKUP($A94,DevRateTable,3,FALSE))</f>
        <v/>
      </c>
      <c r="U94" s="16">
        <f>IF(I94="","",I94*IFERROR(VLOOKUP($A94&amp;"|Feb",Lists!$J:$L,2,FALSE),0)*IFERROR(VLOOKUP($A94&amp;"|Feb",Lists!$J:$L,3,FALSE),0))</f>
        <v/>
      </c>
      <c r="V94" s="16">
        <f>IF(J94="","",J94*IFERROR(VLOOKUP($A94&amp;"|Mar",Lists!$J:$L,2,FALSE),0)*IFERROR(VLOOKUP($A94&amp;"|Mar",Lists!$J:$L,3,FALSE),0))</f>
        <v/>
      </c>
      <c r="W94" s="16">
        <f>IF(K94="","",K94*IFERROR(VLOOKUP($A94&amp;"|Apr",Lists!$J:$L,2,FALSE),0)*IFERROR(VLOOKUP($A94&amp;"|Apr",Lists!$J:$L,3,FALSE),0))</f>
        <v/>
      </c>
      <c r="X94" s="16">
        <f>IF(L94="","",L94*IFERROR(VLOOKUP($A94&amp;"|May",Lists!$J:$L,2,FALSE),0)*IFERROR(VLOOKUP($A94&amp;"|May",Lists!$J:$L,3,FALSE),0))</f>
        <v/>
      </c>
      <c r="Y94" s="16">
        <f>IF(M94="","",M94*IFERROR(VLOOKUP($A94&amp;"|Jun",Lists!$J:$L,2,FALSE),0)*IFERROR(VLOOKUP($A94&amp;"|Jun",Lists!$J:$L,3,FALSE),0))</f>
        <v/>
      </c>
      <c r="Z94" s="16">
        <f>IF(N94="","",N94*IFERROR(VLOOKUP($A94&amp;"|Jul",Lists!$J:$L,2,FALSE),0)*IFERROR(VLOOKUP($A94&amp;"|Jul",Lists!$J:$L,3,FALSE),0))</f>
        <v/>
      </c>
      <c r="AA94" s="16">
        <f>IF(O94="","",O94*IFERROR(VLOOKUP($A94&amp;"|Aug",Lists!$J:$L,2,FALSE),0)*IFERROR(VLOOKUP($A94&amp;"|Aug",Lists!$J:$L,3,FALSE),0))</f>
        <v/>
      </c>
      <c r="AB94" s="16">
        <f>IF(P94="","",P94*IFERROR(VLOOKUP($A94&amp;"|Sep",Lists!$J:$L,2,FALSE),0)*IFERROR(VLOOKUP($A94&amp;"|Sep",Lists!$J:$L,3,FALSE),0))</f>
        <v/>
      </c>
      <c r="AC94" s="16">
        <f>IF(Q94="","",Q94*IFERROR(VLOOKUP($A94&amp;"|Oct",Lists!$J:$L,2,FALSE),0)*IFERROR(VLOOKUP($A94&amp;"|Oct",Lists!$J:$L,3,FALSE),0))</f>
        <v/>
      </c>
      <c r="AD94" s="16">
        <f>IF(R94="","",R94*IFERROR(VLOOKUP($A94&amp;"|Nov",Lists!$J:$L,2,FALSE),0)*IFERROR(VLOOKUP($A94&amp;"|Nov",Lists!$J:$L,3,FALSE),0))</f>
        <v/>
      </c>
      <c r="AE94" s="16">
        <f>IF(S94="","",S94*IFERROR(VLOOKUP($A94&amp;"|Dec",Lists!$J:$L,2,FALSE),0)*IFERROR(VLOOKUP($A94&amp;"|Dec",Lists!$J:$L,3,FALSE),0))</f>
        <v/>
      </c>
    </row>
    <row r="95">
      <c r="T95" s="19">
        <f>IF($A95="","",VLOOKUP($A95,DevRateTable,3,FALSE))</f>
        <v/>
      </c>
      <c r="U95" s="16">
        <f>IF(I95="","",I95*IFERROR(VLOOKUP($A95&amp;"|Feb",Lists!$J:$L,2,FALSE),0)*IFERROR(VLOOKUP($A95&amp;"|Feb",Lists!$J:$L,3,FALSE),0))</f>
        <v/>
      </c>
      <c r="V95" s="16">
        <f>IF(J95="","",J95*IFERROR(VLOOKUP($A95&amp;"|Mar",Lists!$J:$L,2,FALSE),0)*IFERROR(VLOOKUP($A95&amp;"|Mar",Lists!$J:$L,3,FALSE),0))</f>
        <v/>
      </c>
      <c r="W95" s="16">
        <f>IF(K95="","",K95*IFERROR(VLOOKUP($A95&amp;"|Apr",Lists!$J:$L,2,FALSE),0)*IFERROR(VLOOKUP($A95&amp;"|Apr",Lists!$J:$L,3,FALSE),0))</f>
        <v/>
      </c>
      <c r="X95" s="16">
        <f>IF(L95="","",L95*IFERROR(VLOOKUP($A95&amp;"|May",Lists!$J:$L,2,FALSE),0)*IFERROR(VLOOKUP($A95&amp;"|May",Lists!$J:$L,3,FALSE),0))</f>
        <v/>
      </c>
      <c r="Y95" s="16">
        <f>IF(M95="","",M95*IFERROR(VLOOKUP($A95&amp;"|Jun",Lists!$J:$L,2,FALSE),0)*IFERROR(VLOOKUP($A95&amp;"|Jun",Lists!$J:$L,3,FALSE),0))</f>
        <v/>
      </c>
      <c r="Z95" s="16">
        <f>IF(N95="","",N95*IFERROR(VLOOKUP($A95&amp;"|Jul",Lists!$J:$L,2,FALSE),0)*IFERROR(VLOOKUP($A95&amp;"|Jul",Lists!$J:$L,3,FALSE),0))</f>
        <v/>
      </c>
      <c r="AA95" s="16">
        <f>IF(O95="","",O95*IFERROR(VLOOKUP($A95&amp;"|Aug",Lists!$J:$L,2,FALSE),0)*IFERROR(VLOOKUP($A95&amp;"|Aug",Lists!$J:$L,3,FALSE),0))</f>
        <v/>
      </c>
      <c r="AB95" s="16">
        <f>IF(P95="","",P95*IFERROR(VLOOKUP($A95&amp;"|Sep",Lists!$J:$L,2,FALSE),0)*IFERROR(VLOOKUP($A95&amp;"|Sep",Lists!$J:$L,3,FALSE),0))</f>
        <v/>
      </c>
      <c r="AC95" s="16">
        <f>IF(Q95="","",Q95*IFERROR(VLOOKUP($A95&amp;"|Oct",Lists!$J:$L,2,FALSE),0)*IFERROR(VLOOKUP($A95&amp;"|Oct",Lists!$J:$L,3,FALSE),0))</f>
        <v/>
      </c>
      <c r="AD95" s="16">
        <f>IF(R95="","",R95*IFERROR(VLOOKUP($A95&amp;"|Nov",Lists!$J:$L,2,FALSE),0)*IFERROR(VLOOKUP($A95&amp;"|Nov",Lists!$J:$L,3,FALSE),0))</f>
        <v/>
      </c>
      <c r="AE95" s="16">
        <f>IF(S95="","",S95*IFERROR(VLOOKUP($A95&amp;"|Dec",Lists!$J:$L,2,FALSE),0)*IFERROR(VLOOKUP($A95&amp;"|Dec",Lists!$J:$L,3,FALSE),0))</f>
        <v/>
      </c>
    </row>
    <row r="96">
      <c r="T96" s="19">
        <f>IF($A96="","",VLOOKUP($A96,DevRateTable,3,FALSE))</f>
        <v/>
      </c>
      <c r="U96" s="16">
        <f>IF(I96="","",I96*IFERROR(VLOOKUP($A96&amp;"|Feb",Lists!$J:$L,2,FALSE),0)*IFERROR(VLOOKUP($A96&amp;"|Feb",Lists!$J:$L,3,FALSE),0))</f>
        <v/>
      </c>
      <c r="V96" s="16">
        <f>IF(J96="","",J96*IFERROR(VLOOKUP($A96&amp;"|Mar",Lists!$J:$L,2,FALSE),0)*IFERROR(VLOOKUP($A96&amp;"|Mar",Lists!$J:$L,3,FALSE),0))</f>
        <v/>
      </c>
      <c r="W96" s="16">
        <f>IF(K96="","",K96*IFERROR(VLOOKUP($A96&amp;"|Apr",Lists!$J:$L,2,FALSE),0)*IFERROR(VLOOKUP($A96&amp;"|Apr",Lists!$J:$L,3,FALSE),0))</f>
        <v/>
      </c>
      <c r="X96" s="16">
        <f>IF(L96="","",L96*IFERROR(VLOOKUP($A96&amp;"|May",Lists!$J:$L,2,FALSE),0)*IFERROR(VLOOKUP($A96&amp;"|May",Lists!$J:$L,3,FALSE),0))</f>
        <v/>
      </c>
      <c r="Y96" s="16">
        <f>IF(M96="","",M96*IFERROR(VLOOKUP($A96&amp;"|Jun",Lists!$J:$L,2,FALSE),0)*IFERROR(VLOOKUP($A96&amp;"|Jun",Lists!$J:$L,3,FALSE),0))</f>
        <v/>
      </c>
      <c r="Z96" s="16">
        <f>IF(N96="","",N96*IFERROR(VLOOKUP($A96&amp;"|Jul",Lists!$J:$L,2,FALSE),0)*IFERROR(VLOOKUP($A96&amp;"|Jul",Lists!$J:$L,3,FALSE),0))</f>
        <v/>
      </c>
      <c r="AA96" s="16">
        <f>IF(O96="","",O96*IFERROR(VLOOKUP($A96&amp;"|Aug",Lists!$J:$L,2,FALSE),0)*IFERROR(VLOOKUP($A96&amp;"|Aug",Lists!$J:$L,3,FALSE),0))</f>
        <v/>
      </c>
      <c r="AB96" s="16">
        <f>IF(P96="","",P96*IFERROR(VLOOKUP($A96&amp;"|Sep",Lists!$J:$L,2,FALSE),0)*IFERROR(VLOOKUP($A96&amp;"|Sep",Lists!$J:$L,3,FALSE),0))</f>
        <v/>
      </c>
      <c r="AC96" s="16">
        <f>IF(Q96="","",Q96*IFERROR(VLOOKUP($A96&amp;"|Oct",Lists!$J:$L,2,FALSE),0)*IFERROR(VLOOKUP($A96&amp;"|Oct",Lists!$J:$L,3,FALSE),0))</f>
        <v/>
      </c>
      <c r="AD96" s="16">
        <f>IF(R96="","",R96*IFERROR(VLOOKUP($A96&amp;"|Nov",Lists!$J:$L,2,FALSE),0)*IFERROR(VLOOKUP($A96&amp;"|Nov",Lists!$J:$L,3,FALSE),0))</f>
        <v/>
      </c>
      <c r="AE96" s="16">
        <f>IF(S96="","",S96*IFERROR(VLOOKUP($A96&amp;"|Dec",Lists!$J:$L,2,FALSE),0)*IFERROR(VLOOKUP($A96&amp;"|Dec",Lists!$J:$L,3,FALSE),0))</f>
        <v/>
      </c>
    </row>
    <row r="97">
      <c r="T97" s="19">
        <f>IF($A97="","",VLOOKUP($A97,DevRateTable,3,FALSE))</f>
        <v/>
      </c>
      <c r="U97" s="16">
        <f>IF(I97="","",I97*IFERROR(VLOOKUP($A97&amp;"|Feb",Lists!$J:$L,2,FALSE),0)*IFERROR(VLOOKUP($A97&amp;"|Feb",Lists!$J:$L,3,FALSE),0))</f>
        <v/>
      </c>
      <c r="V97" s="16">
        <f>IF(J97="","",J97*IFERROR(VLOOKUP($A97&amp;"|Mar",Lists!$J:$L,2,FALSE),0)*IFERROR(VLOOKUP($A97&amp;"|Mar",Lists!$J:$L,3,FALSE),0))</f>
        <v/>
      </c>
      <c r="W97" s="16">
        <f>IF(K97="","",K97*IFERROR(VLOOKUP($A97&amp;"|Apr",Lists!$J:$L,2,FALSE),0)*IFERROR(VLOOKUP($A97&amp;"|Apr",Lists!$J:$L,3,FALSE),0))</f>
        <v/>
      </c>
      <c r="X97" s="16">
        <f>IF(L97="","",L97*IFERROR(VLOOKUP($A97&amp;"|May",Lists!$J:$L,2,FALSE),0)*IFERROR(VLOOKUP($A97&amp;"|May",Lists!$J:$L,3,FALSE),0))</f>
        <v/>
      </c>
      <c r="Y97" s="16">
        <f>IF(M97="","",M97*IFERROR(VLOOKUP($A97&amp;"|Jun",Lists!$J:$L,2,FALSE),0)*IFERROR(VLOOKUP($A97&amp;"|Jun",Lists!$J:$L,3,FALSE),0))</f>
        <v/>
      </c>
      <c r="Z97" s="16">
        <f>IF(N97="","",N97*IFERROR(VLOOKUP($A97&amp;"|Jul",Lists!$J:$L,2,FALSE),0)*IFERROR(VLOOKUP($A97&amp;"|Jul",Lists!$J:$L,3,FALSE),0))</f>
        <v/>
      </c>
      <c r="AA97" s="16">
        <f>IF(O97="","",O97*IFERROR(VLOOKUP($A97&amp;"|Aug",Lists!$J:$L,2,FALSE),0)*IFERROR(VLOOKUP($A97&amp;"|Aug",Lists!$J:$L,3,FALSE),0))</f>
        <v/>
      </c>
      <c r="AB97" s="16">
        <f>IF(P97="","",P97*IFERROR(VLOOKUP($A97&amp;"|Sep",Lists!$J:$L,2,FALSE),0)*IFERROR(VLOOKUP($A97&amp;"|Sep",Lists!$J:$L,3,FALSE),0))</f>
        <v/>
      </c>
      <c r="AC97" s="16">
        <f>IF(Q97="","",Q97*IFERROR(VLOOKUP($A97&amp;"|Oct",Lists!$J:$L,2,FALSE),0)*IFERROR(VLOOKUP($A97&amp;"|Oct",Lists!$J:$L,3,FALSE),0))</f>
        <v/>
      </c>
      <c r="AD97" s="16">
        <f>IF(R97="","",R97*IFERROR(VLOOKUP($A97&amp;"|Nov",Lists!$J:$L,2,FALSE),0)*IFERROR(VLOOKUP($A97&amp;"|Nov",Lists!$J:$L,3,FALSE),0))</f>
        <v/>
      </c>
      <c r="AE97" s="16">
        <f>IF(S97="","",S97*IFERROR(VLOOKUP($A97&amp;"|Dec",Lists!$J:$L,2,FALSE),0)*IFERROR(VLOOKUP($A97&amp;"|Dec",Lists!$J:$L,3,FALSE),0))</f>
        <v/>
      </c>
    </row>
    <row r="98">
      <c r="T98" s="19">
        <f>IF($A98="","",VLOOKUP($A98,DevRateTable,3,FALSE))</f>
        <v/>
      </c>
      <c r="U98" s="16">
        <f>IF(I98="","",I98*IFERROR(VLOOKUP($A98&amp;"|Feb",Lists!$J:$L,2,FALSE),0)*IFERROR(VLOOKUP($A98&amp;"|Feb",Lists!$J:$L,3,FALSE),0))</f>
        <v/>
      </c>
      <c r="V98" s="16">
        <f>IF(J98="","",J98*IFERROR(VLOOKUP($A98&amp;"|Mar",Lists!$J:$L,2,FALSE),0)*IFERROR(VLOOKUP($A98&amp;"|Mar",Lists!$J:$L,3,FALSE),0))</f>
        <v/>
      </c>
      <c r="W98" s="16">
        <f>IF(K98="","",K98*IFERROR(VLOOKUP($A98&amp;"|Apr",Lists!$J:$L,2,FALSE),0)*IFERROR(VLOOKUP($A98&amp;"|Apr",Lists!$J:$L,3,FALSE),0))</f>
        <v/>
      </c>
      <c r="X98" s="16">
        <f>IF(L98="","",L98*IFERROR(VLOOKUP($A98&amp;"|May",Lists!$J:$L,2,FALSE),0)*IFERROR(VLOOKUP($A98&amp;"|May",Lists!$J:$L,3,FALSE),0))</f>
        <v/>
      </c>
      <c r="Y98" s="16">
        <f>IF(M98="","",M98*IFERROR(VLOOKUP($A98&amp;"|Jun",Lists!$J:$L,2,FALSE),0)*IFERROR(VLOOKUP($A98&amp;"|Jun",Lists!$J:$L,3,FALSE),0))</f>
        <v/>
      </c>
      <c r="Z98" s="16">
        <f>IF(N98="","",N98*IFERROR(VLOOKUP($A98&amp;"|Jul",Lists!$J:$L,2,FALSE),0)*IFERROR(VLOOKUP($A98&amp;"|Jul",Lists!$J:$L,3,FALSE),0))</f>
        <v/>
      </c>
      <c r="AA98" s="16">
        <f>IF(O98="","",O98*IFERROR(VLOOKUP($A98&amp;"|Aug",Lists!$J:$L,2,FALSE),0)*IFERROR(VLOOKUP($A98&amp;"|Aug",Lists!$J:$L,3,FALSE),0))</f>
        <v/>
      </c>
      <c r="AB98" s="16">
        <f>IF(P98="","",P98*IFERROR(VLOOKUP($A98&amp;"|Sep",Lists!$J:$L,2,FALSE),0)*IFERROR(VLOOKUP($A98&amp;"|Sep",Lists!$J:$L,3,FALSE),0))</f>
        <v/>
      </c>
      <c r="AC98" s="16">
        <f>IF(Q98="","",Q98*IFERROR(VLOOKUP($A98&amp;"|Oct",Lists!$J:$L,2,FALSE),0)*IFERROR(VLOOKUP($A98&amp;"|Oct",Lists!$J:$L,3,FALSE),0))</f>
        <v/>
      </c>
      <c r="AD98" s="16">
        <f>IF(R98="","",R98*IFERROR(VLOOKUP($A98&amp;"|Nov",Lists!$J:$L,2,FALSE),0)*IFERROR(VLOOKUP($A98&amp;"|Nov",Lists!$J:$L,3,FALSE),0))</f>
        <v/>
      </c>
      <c r="AE98" s="16">
        <f>IF(S98="","",S98*IFERROR(VLOOKUP($A98&amp;"|Dec",Lists!$J:$L,2,FALSE),0)*IFERROR(VLOOKUP($A98&amp;"|Dec",Lists!$J:$L,3,FALSE),0))</f>
        <v/>
      </c>
    </row>
    <row r="99">
      <c r="T99" s="19">
        <f>IF($A99="","",VLOOKUP($A99,DevRateTable,3,FALSE))</f>
        <v/>
      </c>
      <c r="U99" s="16">
        <f>IF(I99="","",I99*IFERROR(VLOOKUP($A99&amp;"|Feb",Lists!$J:$L,2,FALSE),0)*IFERROR(VLOOKUP($A99&amp;"|Feb",Lists!$J:$L,3,FALSE),0))</f>
        <v/>
      </c>
      <c r="V99" s="16">
        <f>IF(J99="","",J99*IFERROR(VLOOKUP($A99&amp;"|Mar",Lists!$J:$L,2,FALSE),0)*IFERROR(VLOOKUP($A99&amp;"|Mar",Lists!$J:$L,3,FALSE),0))</f>
        <v/>
      </c>
      <c r="W99" s="16">
        <f>IF(K99="","",K99*IFERROR(VLOOKUP($A99&amp;"|Apr",Lists!$J:$L,2,FALSE),0)*IFERROR(VLOOKUP($A99&amp;"|Apr",Lists!$J:$L,3,FALSE),0))</f>
        <v/>
      </c>
      <c r="X99" s="16">
        <f>IF(L99="","",L99*IFERROR(VLOOKUP($A99&amp;"|May",Lists!$J:$L,2,FALSE),0)*IFERROR(VLOOKUP($A99&amp;"|May",Lists!$J:$L,3,FALSE),0))</f>
        <v/>
      </c>
      <c r="Y99" s="16">
        <f>IF(M99="","",M99*IFERROR(VLOOKUP($A99&amp;"|Jun",Lists!$J:$L,2,FALSE),0)*IFERROR(VLOOKUP($A99&amp;"|Jun",Lists!$J:$L,3,FALSE),0))</f>
        <v/>
      </c>
      <c r="Z99" s="16">
        <f>IF(N99="","",N99*IFERROR(VLOOKUP($A99&amp;"|Jul",Lists!$J:$L,2,FALSE),0)*IFERROR(VLOOKUP($A99&amp;"|Jul",Lists!$J:$L,3,FALSE),0))</f>
        <v/>
      </c>
      <c r="AA99" s="16">
        <f>IF(O99="","",O99*IFERROR(VLOOKUP($A99&amp;"|Aug",Lists!$J:$L,2,FALSE),0)*IFERROR(VLOOKUP($A99&amp;"|Aug",Lists!$J:$L,3,FALSE),0))</f>
        <v/>
      </c>
      <c r="AB99" s="16">
        <f>IF(P99="","",P99*IFERROR(VLOOKUP($A99&amp;"|Sep",Lists!$J:$L,2,FALSE),0)*IFERROR(VLOOKUP($A99&amp;"|Sep",Lists!$J:$L,3,FALSE),0))</f>
        <v/>
      </c>
      <c r="AC99" s="16">
        <f>IF(Q99="","",Q99*IFERROR(VLOOKUP($A99&amp;"|Oct",Lists!$J:$L,2,FALSE),0)*IFERROR(VLOOKUP($A99&amp;"|Oct",Lists!$J:$L,3,FALSE),0))</f>
        <v/>
      </c>
      <c r="AD99" s="16">
        <f>IF(R99="","",R99*IFERROR(VLOOKUP($A99&amp;"|Nov",Lists!$J:$L,2,FALSE),0)*IFERROR(VLOOKUP($A99&amp;"|Nov",Lists!$J:$L,3,FALSE),0))</f>
        <v/>
      </c>
      <c r="AE99" s="16">
        <f>IF(S99="","",S99*IFERROR(VLOOKUP($A99&amp;"|Dec",Lists!$J:$L,2,FALSE),0)*IFERROR(VLOOKUP($A99&amp;"|Dec",Lists!$J:$L,3,FALSE),0))</f>
        <v/>
      </c>
    </row>
    <row r="100">
      <c r="T100" s="19">
        <f>IF($A100="","",VLOOKUP($A100,DevRateTable,3,FALSE))</f>
        <v/>
      </c>
      <c r="U100" s="16">
        <f>IF(I100="","",I100*IFERROR(VLOOKUP($A100&amp;"|Feb",Lists!$J:$L,2,FALSE),0)*IFERROR(VLOOKUP($A100&amp;"|Feb",Lists!$J:$L,3,FALSE),0))</f>
        <v/>
      </c>
      <c r="V100" s="16">
        <f>IF(J100="","",J100*IFERROR(VLOOKUP($A100&amp;"|Mar",Lists!$J:$L,2,FALSE),0)*IFERROR(VLOOKUP($A100&amp;"|Mar",Lists!$J:$L,3,FALSE),0))</f>
        <v/>
      </c>
      <c r="W100" s="16">
        <f>IF(K100="","",K100*IFERROR(VLOOKUP($A100&amp;"|Apr",Lists!$J:$L,2,FALSE),0)*IFERROR(VLOOKUP($A100&amp;"|Apr",Lists!$J:$L,3,FALSE),0))</f>
        <v/>
      </c>
      <c r="X100" s="16">
        <f>IF(L100="","",L100*IFERROR(VLOOKUP($A100&amp;"|May",Lists!$J:$L,2,FALSE),0)*IFERROR(VLOOKUP($A100&amp;"|May",Lists!$J:$L,3,FALSE),0))</f>
        <v/>
      </c>
      <c r="Y100" s="16">
        <f>IF(M100="","",M100*IFERROR(VLOOKUP($A100&amp;"|Jun",Lists!$J:$L,2,FALSE),0)*IFERROR(VLOOKUP($A100&amp;"|Jun",Lists!$J:$L,3,FALSE),0))</f>
        <v/>
      </c>
      <c r="Z100" s="16">
        <f>IF(N100="","",N100*IFERROR(VLOOKUP($A100&amp;"|Jul",Lists!$J:$L,2,FALSE),0)*IFERROR(VLOOKUP($A100&amp;"|Jul",Lists!$J:$L,3,FALSE),0))</f>
        <v/>
      </c>
      <c r="AA100" s="16">
        <f>IF(O100="","",O100*IFERROR(VLOOKUP($A100&amp;"|Aug",Lists!$J:$L,2,FALSE),0)*IFERROR(VLOOKUP($A100&amp;"|Aug",Lists!$J:$L,3,FALSE),0))</f>
        <v/>
      </c>
      <c r="AB100" s="16">
        <f>IF(P100="","",P100*IFERROR(VLOOKUP($A100&amp;"|Sep",Lists!$J:$L,2,FALSE),0)*IFERROR(VLOOKUP($A100&amp;"|Sep",Lists!$J:$L,3,FALSE),0))</f>
        <v/>
      </c>
      <c r="AC100" s="16">
        <f>IF(Q100="","",Q100*IFERROR(VLOOKUP($A100&amp;"|Oct",Lists!$J:$L,2,FALSE),0)*IFERROR(VLOOKUP($A100&amp;"|Oct",Lists!$J:$L,3,FALSE),0))</f>
        <v/>
      </c>
      <c r="AD100" s="16">
        <f>IF(R100="","",R100*IFERROR(VLOOKUP($A100&amp;"|Nov",Lists!$J:$L,2,FALSE),0)*IFERROR(VLOOKUP($A100&amp;"|Nov",Lists!$J:$L,3,FALSE),0))</f>
        <v/>
      </c>
      <c r="AE100" s="16">
        <f>IF(S100="","",S100*IFERROR(VLOOKUP($A100&amp;"|Dec",Lists!$J:$L,2,FALSE),0)*IFERROR(VLOOKUP($A100&amp;"|Dec",Lists!$J:$L,3,FALSE),0))</f>
        <v/>
      </c>
    </row>
    <row r="101">
      <c r="T101" s="19">
        <f>IF($A101="","",VLOOKUP($A101,DevRateTable,3,FALSE))</f>
        <v/>
      </c>
      <c r="U101" s="16">
        <f>IF(I101="","",I101*IFERROR(VLOOKUP($A101&amp;"|Feb",Lists!$J:$L,2,FALSE),0)*IFERROR(VLOOKUP($A101&amp;"|Feb",Lists!$J:$L,3,FALSE),0))</f>
        <v/>
      </c>
      <c r="V101" s="16">
        <f>IF(J101="","",J101*IFERROR(VLOOKUP($A101&amp;"|Mar",Lists!$J:$L,2,FALSE),0)*IFERROR(VLOOKUP($A101&amp;"|Mar",Lists!$J:$L,3,FALSE),0))</f>
        <v/>
      </c>
      <c r="W101" s="16">
        <f>IF(K101="","",K101*IFERROR(VLOOKUP($A101&amp;"|Apr",Lists!$J:$L,2,FALSE),0)*IFERROR(VLOOKUP($A101&amp;"|Apr",Lists!$J:$L,3,FALSE),0))</f>
        <v/>
      </c>
      <c r="X101" s="16">
        <f>IF(L101="","",L101*IFERROR(VLOOKUP($A101&amp;"|May",Lists!$J:$L,2,FALSE),0)*IFERROR(VLOOKUP($A101&amp;"|May",Lists!$J:$L,3,FALSE),0))</f>
        <v/>
      </c>
      <c r="Y101" s="16">
        <f>IF(M101="","",M101*IFERROR(VLOOKUP($A101&amp;"|Jun",Lists!$J:$L,2,FALSE),0)*IFERROR(VLOOKUP($A101&amp;"|Jun",Lists!$J:$L,3,FALSE),0))</f>
        <v/>
      </c>
      <c r="Z101" s="16">
        <f>IF(N101="","",N101*IFERROR(VLOOKUP($A101&amp;"|Jul",Lists!$J:$L,2,FALSE),0)*IFERROR(VLOOKUP($A101&amp;"|Jul",Lists!$J:$L,3,FALSE),0))</f>
        <v/>
      </c>
      <c r="AA101" s="16">
        <f>IF(O101="","",O101*IFERROR(VLOOKUP($A101&amp;"|Aug",Lists!$J:$L,2,FALSE),0)*IFERROR(VLOOKUP($A101&amp;"|Aug",Lists!$J:$L,3,FALSE),0))</f>
        <v/>
      </c>
      <c r="AB101" s="16">
        <f>IF(P101="","",P101*IFERROR(VLOOKUP($A101&amp;"|Sep",Lists!$J:$L,2,FALSE),0)*IFERROR(VLOOKUP($A101&amp;"|Sep",Lists!$J:$L,3,FALSE),0))</f>
        <v/>
      </c>
      <c r="AC101" s="16">
        <f>IF(Q101="","",Q101*IFERROR(VLOOKUP($A101&amp;"|Oct",Lists!$J:$L,2,FALSE),0)*IFERROR(VLOOKUP($A101&amp;"|Oct",Lists!$J:$L,3,FALSE),0))</f>
        <v/>
      </c>
      <c r="AD101" s="16">
        <f>IF(R101="","",R101*IFERROR(VLOOKUP($A101&amp;"|Nov",Lists!$J:$L,2,FALSE),0)*IFERROR(VLOOKUP($A101&amp;"|Nov",Lists!$J:$L,3,FALSE),0))</f>
        <v/>
      </c>
      <c r="AE101" s="16">
        <f>IF(S101="","",S101*IFERROR(VLOOKUP($A101&amp;"|Dec",Lists!$J:$L,2,FALSE),0)*IFERROR(VLOOKUP($A101&amp;"|Dec",Lists!$J:$L,3,FALSE),0))</f>
        <v/>
      </c>
    </row>
    <row r="102">
      <c r="T102" s="19">
        <f>IF($A102="","",VLOOKUP($A102,DevRateTable,3,FALSE))</f>
        <v/>
      </c>
      <c r="U102" s="16">
        <f>IF(I102="","",I102*IFERROR(VLOOKUP($A102&amp;"|Feb",Lists!$J:$L,2,FALSE),0)*IFERROR(VLOOKUP($A102&amp;"|Feb",Lists!$J:$L,3,FALSE),0))</f>
        <v/>
      </c>
      <c r="V102" s="16">
        <f>IF(J102="","",J102*IFERROR(VLOOKUP($A102&amp;"|Mar",Lists!$J:$L,2,FALSE),0)*IFERROR(VLOOKUP($A102&amp;"|Mar",Lists!$J:$L,3,FALSE),0))</f>
        <v/>
      </c>
      <c r="W102" s="16">
        <f>IF(K102="","",K102*IFERROR(VLOOKUP($A102&amp;"|Apr",Lists!$J:$L,2,FALSE),0)*IFERROR(VLOOKUP($A102&amp;"|Apr",Lists!$J:$L,3,FALSE),0))</f>
        <v/>
      </c>
      <c r="X102" s="16">
        <f>IF(L102="","",L102*IFERROR(VLOOKUP($A102&amp;"|May",Lists!$J:$L,2,FALSE),0)*IFERROR(VLOOKUP($A102&amp;"|May",Lists!$J:$L,3,FALSE),0))</f>
        <v/>
      </c>
      <c r="Y102" s="16">
        <f>IF(M102="","",M102*IFERROR(VLOOKUP($A102&amp;"|Jun",Lists!$J:$L,2,FALSE),0)*IFERROR(VLOOKUP($A102&amp;"|Jun",Lists!$J:$L,3,FALSE),0))</f>
        <v/>
      </c>
      <c r="Z102" s="16">
        <f>IF(N102="","",N102*IFERROR(VLOOKUP($A102&amp;"|Jul",Lists!$J:$L,2,FALSE),0)*IFERROR(VLOOKUP($A102&amp;"|Jul",Lists!$J:$L,3,FALSE),0))</f>
        <v/>
      </c>
      <c r="AA102" s="16">
        <f>IF(O102="","",O102*IFERROR(VLOOKUP($A102&amp;"|Aug",Lists!$J:$L,2,FALSE),0)*IFERROR(VLOOKUP($A102&amp;"|Aug",Lists!$J:$L,3,FALSE),0))</f>
        <v/>
      </c>
      <c r="AB102" s="16">
        <f>IF(P102="","",P102*IFERROR(VLOOKUP($A102&amp;"|Sep",Lists!$J:$L,2,FALSE),0)*IFERROR(VLOOKUP($A102&amp;"|Sep",Lists!$J:$L,3,FALSE),0))</f>
        <v/>
      </c>
      <c r="AC102" s="16">
        <f>IF(Q102="","",Q102*IFERROR(VLOOKUP($A102&amp;"|Oct",Lists!$J:$L,2,FALSE),0)*IFERROR(VLOOKUP($A102&amp;"|Oct",Lists!$J:$L,3,FALSE),0))</f>
        <v/>
      </c>
      <c r="AD102" s="16">
        <f>IF(R102="","",R102*IFERROR(VLOOKUP($A102&amp;"|Nov",Lists!$J:$L,2,FALSE),0)*IFERROR(VLOOKUP($A102&amp;"|Nov",Lists!$J:$L,3,FALSE),0))</f>
        <v/>
      </c>
      <c r="AE102" s="16">
        <f>IF(S102="","",S102*IFERROR(VLOOKUP($A102&amp;"|Dec",Lists!$J:$L,2,FALSE),0)*IFERROR(VLOOKUP($A102&amp;"|Dec",Lists!$J:$L,3,FALSE),0))</f>
        <v/>
      </c>
    </row>
    <row r="103">
      <c r="T103" s="19">
        <f>IF($A103="","",VLOOKUP($A103,DevRateTable,3,FALSE))</f>
        <v/>
      </c>
      <c r="U103" s="16">
        <f>IF(I103="","",I103*IFERROR(VLOOKUP($A103&amp;"|Feb",Lists!$J:$L,2,FALSE),0)*IFERROR(VLOOKUP($A103&amp;"|Feb",Lists!$J:$L,3,FALSE),0))</f>
        <v/>
      </c>
      <c r="V103" s="16">
        <f>IF(J103="","",J103*IFERROR(VLOOKUP($A103&amp;"|Mar",Lists!$J:$L,2,FALSE),0)*IFERROR(VLOOKUP($A103&amp;"|Mar",Lists!$J:$L,3,FALSE),0))</f>
        <v/>
      </c>
      <c r="W103" s="16">
        <f>IF(K103="","",K103*IFERROR(VLOOKUP($A103&amp;"|Apr",Lists!$J:$L,2,FALSE),0)*IFERROR(VLOOKUP($A103&amp;"|Apr",Lists!$J:$L,3,FALSE),0))</f>
        <v/>
      </c>
      <c r="X103" s="16">
        <f>IF(L103="","",L103*IFERROR(VLOOKUP($A103&amp;"|May",Lists!$J:$L,2,FALSE),0)*IFERROR(VLOOKUP($A103&amp;"|May",Lists!$J:$L,3,FALSE),0))</f>
        <v/>
      </c>
      <c r="Y103" s="16">
        <f>IF(M103="","",M103*IFERROR(VLOOKUP($A103&amp;"|Jun",Lists!$J:$L,2,FALSE),0)*IFERROR(VLOOKUP($A103&amp;"|Jun",Lists!$J:$L,3,FALSE),0))</f>
        <v/>
      </c>
      <c r="Z103" s="16">
        <f>IF(N103="","",N103*IFERROR(VLOOKUP($A103&amp;"|Jul",Lists!$J:$L,2,FALSE),0)*IFERROR(VLOOKUP($A103&amp;"|Jul",Lists!$J:$L,3,FALSE),0))</f>
        <v/>
      </c>
      <c r="AA103" s="16">
        <f>IF(O103="","",O103*IFERROR(VLOOKUP($A103&amp;"|Aug",Lists!$J:$L,2,FALSE),0)*IFERROR(VLOOKUP($A103&amp;"|Aug",Lists!$J:$L,3,FALSE),0))</f>
        <v/>
      </c>
      <c r="AB103" s="16">
        <f>IF(P103="","",P103*IFERROR(VLOOKUP($A103&amp;"|Sep",Lists!$J:$L,2,FALSE),0)*IFERROR(VLOOKUP($A103&amp;"|Sep",Lists!$J:$L,3,FALSE),0))</f>
        <v/>
      </c>
      <c r="AC103" s="16">
        <f>IF(Q103="","",Q103*IFERROR(VLOOKUP($A103&amp;"|Oct",Lists!$J:$L,2,FALSE),0)*IFERROR(VLOOKUP($A103&amp;"|Oct",Lists!$J:$L,3,FALSE),0))</f>
        <v/>
      </c>
      <c r="AD103" s="16">
        <f>IF(R103="","",R103*IFERROR(VLOOKUP($A103&amp;"|Nov",Lists!$J:$L,2,FALSE),0)*IFERROR(VLOOKUP($A103&amp;"|Nov",Lists!$J:$L,3,FALSE),0))</f>
        <v/>
      </c>
      <c r="AE103" s="16">
        <f>IF(S103="","",S103*IFERROR(VLOOKUP($A103&amp;"|Dec",Lists!$J:$L,2,FALSE),0)*IFERROR(VLOOKUP($A103&amp;"|Dec",Lists!$J:$L,3,FALSE),0))</f>
        <v/>
      </c>
    </row>
    <row r="104">
      <c r="T104" s="19">
        <f>IF($A104="","",VLOOKUP($A104,DevRateTable,3,FALSE))</f>
        <v/>
      </c>
      <c r="U104" s="16">
        <f>IF(I104="","",I104*IFERROR(VLOOKUP($A104&amp;"|Feb",Lists!$J:$L,2,FALSE),0)*IFERROR(VLOOKUP($A104&amp;"|Feb",Lists!$J:$L,3,FALSE),0))</f>
        <v/>
      </c>
      <c r="V104" s="16">
        <f>IF(J104="","",J104*IFERROR(VLOOKUP($A104&amp;"|Mar",Lists!$J:$L,2,FALSE),0)*IFERROR(VLOOKUP($A104&amp;"|Mar",Lists!$J:$L,3,FALSE),0))</f>
        <v/>
      </c>
      <c r="W104" s="16">
        <f>IF(K104="","",K104*IFERROR(VLOOKUP($A104&amp;"|Apr",Lists!$J:$L,2,FALSE),0)*IFERROR(VLOOKUP($A104&amp;"|Apr",Lists!$J:$L,3,FALSE),0))</f>
        <v/>
      </c>
      <c r="X104" s="16">
        <f>IF(L104="","",L104*IFERROR(VLOOKUP($A104&amp;"|May",Lists!$J:$L,2,FALSE),0)*IFERROR(VLOOKUP($A104&amp;"|May",Lists!$J:$L,3,FALSE),0))</f>
        <v/>
      </c>
      <c r="Y104" s="16">
        <f>IF(M104="","",M104*IFERROR(VLOOKUP($A104&amp;"|Jun",Lists!$J:$L,2,FALSE),0)*IFERROR(VLOOKUP($A104&amp;"|Jun",Lists!$J:$L,3,FALSE),0))</f>
        <v/>
      </c>
      <c r="Z104" s="16">
        <f>IF(N104="","",N104*IFERROR(VLOOKUP($A104&amp;"|Jul",Lists!$J:$L,2,FALSE),0)*IFERROR(VLOOKUP($A104&amp;"|Jul",Lists!$J:$L,3,FALSE),0))</f>
        <v/>
      </c>
      <c r="AA104" s="16">
        <f>IF(O104="","",O104*IFERROR(VLOOKUP($A104&amp;"|Aug",Lists!$J:$L,2,FALSE),0)*IFERROR(VLOOKUP($A104&amp;"|Aug",Lists!$J:$L,3,FALSE),0))</f>
        <v/>
      </c>
      <c r="AB104" s="16">
        <f>IF(P104="","",P104*IFERROR(VLOOKUP($A104&amp;"|Sep",Lists!$J:$L,2,FALSE),0)*IFERROR(VLOOKUP($A104&amp;"|Sep",Lists!$J:$L,3,FALSE),0))</f>
        <v/>
      </c>
      <c r="AC104" s="16">
        <f>IF(Q104="","",Q104*IFERROR(VLOOKUP($A104&amp;"|Oct",Lists!$J:$L,2,FALSE),0)*IFERROR(VLOOKUP($A104&amp;"|Oct",Lists!$J:$L,3,FALSE),0))</f>
        <v/>
      </c>
      <c r="AD104" s="16">
        <f>IF(R104="","",R104*IFERROR(VLOOKUP($A104&amp;"|Nov",Lists!$J:$L,2,FALSE),0)*IFERROR(VLOOKUP($A104&amp;"|Nov",Lists!$J:$L,3,FALSE),0))</f>
        <v/>
      </c>
      <c r="AE104" s="16">
        <f>IF(S104="","",S104*IFERROR(VLOOKUP($A104&amp;"|Dec",Lists!$J:$L,2,FALSE),0)*IFERROR(VLOOKUP($A104&amp;"|Dec",Lists!$J:$L,3,FALSE),0))</f>
        <v/>
      </c>
    </row>
    <row r="105">
      <c r="T105" s="19">
        <f>IF($A105="","",VLOOKUP($A105,DevRateTable,3,FALSE))</f>
        <v/>
      </c>
      <c r="U105" s="16">
        <f>IF(I105="","",I105*IFERROR(VLOOKUP($A105&amp;"|Feb",Lists!$J:$L,2,FALSE),0)*IFERROR(VLOOKUP($A105&amp;"|Feb",Lists!$J:$L,3,FALSE),0))</f>
        <v/>
      </c>
      <c r="V105" s="16">
        <f>IF(J105="","",J105*IFERROR(VLOOKUP($A105&amp;"|Mar",Lists!$J:$L,2,FALSE),0)*IFERROR(VLOOKUP($A105&amp;"|Mar",Lists!$J:$L,3,FALSE),0))</f>
        <v/>
      </c>
      <c r="W105" s="16">
        <f>IF(K105="","",K105*IFERROR(VLOOKUP($A105&amp;"|Apr",Lists!$J:$L,2,FALSE),0)*IFERROR(VLOOKUP($A105&amp;"|Apr",Lists!$J:$L,3,FALSE),0))</f>
        <v/>
      </c>
      <c r="X105" s="16">
        <f>IF(L105="","",L105*IFERROR(VLOOKUP($A105&amp;"|May",Lists!$J:$L,2,FALSE),0)*IFERROR(VLOOKUP($A105&amp;"|May",Lists!$J:$L,3,FALSE),0))</f>
        <v/>
      </c>
      <c r="Y105" s="16">
        <f>IF(M105="","",M105*IFERROR(VLOOKUP($A105&amp;"|Jun",Lists!$J:$L,2,FALSE),0)*IFERROR(VLOOKUP($A105&amp;"|Jun",Lists!$J:$L,3,FALSE),0))</f>
        <v/>
      </c>
      <c r="Z105" s="16">
        <f>IF(N105="","",N105*IFERROR(VLOOKUP($A105&amp;"|Jul",Lists!$J:$L,2,FALSE),0)*IFERROR(VLOOKUP($A105&amp;"|Jul",Lists!$J:$L,3,FALSE),0))</f>
        <v/>
      </c>
      <c r="AA105" s="16">
        <f>IF(O105="","",O105*IFERROR(VLOOKUP($A105&amp;"|Aug",Lists!$J:$L,2,FALSE),0)*IFERROR(VLOOKUP($A105&amp;"|Aug",Lists!$J:$L,3,FALSE),0))</f>
        <v/>
      </c>
      <c r="AB105" s="16">
        <f>IF(P105="","",P105*IFERROR(VLOOKUP($A105&amp;"|Sep",Lists!$J:$L,2,FALSE),0)*IFERROR(VLOOKUP($A105&amp;"|Sep",Lists!$J:$L,3,FALSE),0))</f>
        <v/>
      </c>
      <c r="AC105" s="16">
        <f>IF(Q105="","",Q105*IFERROR(VLOOKUP($A105&amp;"|Oct",Lists!$J:$L,2,FALSE),0)*IFERROR(VLOOKUP($A105&amp;"|Oct",Lists!$J:$L,3,FALSE),0))</f>
        <v/>
      </c>
      <c r="AD105" s="16">
        <f>IF(R105="","",R105*IFERROR(VLOOKUP($A105&amp;"|Nov",Lists!$J:$L,2,FALSE),0)*IFERROR(VLOOKUP($A105&amp;"|Nov",Lists!$J:$L,3,FALSE),0))</f>
        <v/>
      </c>
      <c r="AE105" s="16">
        <f>IF(S105="","",S105*IFERROR(VLOOKUP($A105&amp;"|Dec",Lists!$J:$L,2,FALSE),0)*IFERROR(VLOOKUP($A105&amp;"|Dec",Lists!$J:$L,3,FALSE),0))</f>
        <v/>
      </c>
    </row>
    <row r="106">
      <c r="T106" s="19">
        <f>IF($A106="","",VLOOKUP($A106,DevRateTable,3,FALSE))</f>
        <v/>
      </c>
      <c r="U106" s="16">
        <f>IF(I106="","",I106*IFERROR(VLOOKUP($A106&amp;"|Feb",Lists!$J:$L,2,FALSE),0)*IFERROR(VLOOKUP($A106&amp;"|Feb",Lists!$J:$L,3,FALSE),0))</f>
        <v/>
      </c>
      <c r="V106" s="16">
        <f>IF(J106="","",J106*IFERROR(VLOOKUP($A106&amp;"|Mar",Lists!$J:$L,2,FALSE),0)*IFERROR(VLOOKUP($A106&amp;"|Mar",Lists!$J:$L,3,FALSE),0))</f>
        <v/>
      </c>
      <c r="W106" s="16">
        <f>IF(K106="","",K106*IFERROR(VLOOKUP($A106&amp;"|Apr",Lists!$J:$L,2,FALSE),0)*IFERROR(VLOOKUP($A106&amp;"|Apr",Lists!$J:$L,3,FALSE),0))</f>
        <v/>
      </c>
      <c r="X106" s="16">
        <f>IF(L106="","",L106*IFERROR(VLOOKUP($A106&amp;"|May",Lists!$J:$L,2,FALSE),0)*IFERROR(VLOOKUP($A106&amp;"|May",Lists!$J:$L,3,FALSE),0))</f>
        <v/>
      </c>
      <c r="Y106" s="16">
        <f>IF(M106="","",M106*IFERROR(VLOOKUP($A106&amp;"|Jun",Lists!$J:$L,2,FALSE),0)*IFERROR(VLOOKUP($A106&amp;"|Jun",Lists!$J:$L,3,FALSE),0))</f>
        <v/>
      </c>
      <c r="Z106" s="16">
        <f>IF(N106="","",N106*IFERROR(VLOOKUP($A106&amp;"|Jul",Lists!$J:$L,2,FALSE),0)*IFERROR(VLOOKUP($A106&amp;"|Jul",Lists!$J:$L,3,FALSE),0))</f>
        <v/>
      </c>
      <c r="AA106" s="16">
        <f>IF(O106="","",O106*IFERROR(VLOOKUP($A106&amp;"|Aug",Lists!$J:$L,2,FALSE),0)*IFERROR(VLOOKUP($A106&amp;"|Aug",Lists!$J:$L,3,FALSE),0))</f>
        <v/>
      </c>
      <c r="AB106" s="16">
        <f>IF(P106="","",P106*IFERROR(VLOOKUP($A106&amp;"|Sep",Lists!$J:$L,2,FALSE),0)*IFERROR(VLOOKUP($A106&amp;"|Sep",Lists!$J:$L,3,FALSE),0))</f>
        <v/>
      </c>
      <c r="AC106" s="16">
        <f>IF(Q106="","",Q106*IFERROR(VLOOKUP($A106&amp;"|Oct",Lists!$J:$L,2,FALSE),0)*IFERROR(VLOOKUP($A106&amp;"|Oct",Lists!$J:$L,3,FALSE),0))</f>
        <v/>
      </c>
      <c r="AD106" s="16">
        <f>IF(R106="","",R106*IFERROR(VLOOKUP($A106&amp;"|Nov",Lists!$J:$L,2,FALSE),0)*IFERROR(VLOOKUP($A106&amp;"|Nov",Lists!$J:$L,3,FALSE),0))</f>
        <v/>
      </c>
      <c r="AE106" s="16">
        <f>IF(S106="","",S106*IFERROR(VLOOKUP($A106&amp;"|Dec",Lists!$J:$L,2,FALSE),0)*IFERROR(VLOOKUP($A106&amp;"|Dec",Lists!$J:$L,3,FALSE),0))</f>
        <v/>
      </c>
    </row>
    <row r="107">
      <c r="T107" s="19">
        <f>IF($A107="","",VLOOKUP($A107,DevRateTable,3,FALSE))</f>
        <v/>
      </c>
      <c r="U107" s="16">
        <f>IF(I107="","",I107*IFERROR(VLOOKUP($A107&amp;"|Feb",Lists!$J:$L,2,FALSE),0)*IFERROR(VLOOKUP($A107&amp;"|Feb",Lists!$J:$L,3,FALSE),0))</f>
        <v/>
      </c>
      <c r="V107" s="16">
        <f>IF(J107="","",J107*IFERROR(VLOOKUP($A107&amp;"|Mar",Lists!$J:$L,2,FALSE),0)*IFERROR(VLOOKUP($A107&amp;"|Mar",Lists!$J:$L,3,FALSE),0))</f>
        <v/>
      </c>
      <c r="W107" s="16">
        <f>IF(K107="","",K107*IFERROR(VLOOKUP($A107&amp;"|Apr",Lists!$J:$L,2,FALSE),0)*IFERROR(VLOOKUP($A107&amp;"|Apr",Lists!$J:$L,3,FALSE),0))</f>
        <v/>
      </c>
      <c r="X107" s="16">
        <f>IF(L107="","",L107*IFERROR(VLOOKUP($A107&amp;"|May",Lists!$J:$L,2,FALSE),0)*IFERROR(VLOOKUP($A107&amp;"|May",Lists!$J:$L,3,FALSE),0))</f>
        <v/>
      </c>
      <c r="Y107" s="16">
        <f>IF(M107="","",M107*IFERROR(VLOOKUP($A107&amp;"|Jun",Lists!$J:$L,2,FALSE),0)*IFERROR(VLOOKUP($A107&amp;"|Jun",Lists!$J:$L,3,FALSE),0))</f>
        <v/>
      </c>
      <c r="Z107" s="16">
        <f>IF(N107="","",N107*IFERROR(VLOOKUP($A107&amp;"|Jul",Lists!$J:$L,2,FALSE),0)*IFERROR(VLOOKUP($A107&amp;"|Jul",Lists!$J:$L,3,FALSE),0))</f>
        <v/>
      </c>
      <c r="AA107" s="16">
        <f>IF(O107="","",O107*IFERROR(VLOOKUP($A107&amp;"|Aug",Lists!$J:$L,2,FALSE),0)*IFERROR(VLOOKUP($A107&amp;"|Aug",Lists!$J:$L,3,FALSE),0))</f>
        <v/>
      </c>
      <c r="AB107" s="16">
        <f>IF(P107="","",P107*IFERROR(VLOOKUP($A107&amp;"|Sep",Lists!$J:$L,2,FALSE),0)*IFERROR(VLOOKUP($A107&amp;"|Sep",Lists!$J:$L,3,FALSE),0))</f>
        <v/>
      </c>
      <c r="AC107" s="16">
        <f>IF(Q107="","",Q107*IFERROR(VLOOKUP($A107&amp;"|Oct",Lists!$J:$L,2,FALSE),0)*IFERROR(VLOOKUP($A107&amp;"|Oct",Lists!$J:$L,3,FALSE),0))</f>
        <v/>
      </c>
      <c r="AD107" s="16">
        <f>IF(R107="","",R107*IFERROR(VLOOKUP($A107&amp;"|Nov",Lists!$J:$L,2,FALSE),0)*IFERROR(VLOOKUP($A107&amp;"|Nov",Lists!$J:$L,3,FALSE),0))</f>
        <v/>
      </c>
      <c r="AE107" s="16">
        <f>IF(S107="","",S107*IFERROR(VLOOKUP($A107&amp;"|Dec",Lists!$J:$L,2,FALSE),0)*IFERROR(VLOOKUP($A107&amp;"|Dec",Lists!$J:$L,3,FALSE),0))</f>
        <v/>
      </c>
    </row>
    <row r="108">
      <c r="T108" s="19">
        <f>IF($A108="","",VLOOKUP($A108,DevRateTable,3,FALSE))</f>
        <v/>
      </c>
      <c r="U108" s="16">
        <f>IF(I108="","",I108*IFERROR(VLOOKUP($A108&amp;"|Feb",Lists!$J:$L,2,FALSE),0)*IFERROR(VLOOKUP($A108&amp;"|Feb",Lists!$J:$L,3,FALSE),0))</f>
        <v/>
      </c>
      <c r="V108" s="16">
        <f>IF(J108="","",J108*IFERROR(VLOOKUP($A108&amp;"|Mar",Lists!$J:$L,2,FALSE),0)*IFERROR(VLOOKUP($A108&amp;"|Mar",Lists!$J:$L,3,FALSE),0))</f>
        <v/>
      </c>
      <c r="W108" s="16">
        <f>IF(K108="","",K108*IFERROR(VLOOKUP($A108&amp;"|Apr",Lists!$J:$L,2,FALSE),0)*IFERROR(VLOOKUP($A108&amp;"|Apr",Lists!$J:$L,3,FALSE),0))</f>
        <v/>
      </c>
      <c r="X108" s="16">
        <f>IF(L108="","",L108*IFERROR(VLOOKUP($A108&amp;"|May",Lists!$J:$L,2,FALSE),0)*IFERROR(VLOOKUP($A108&amp;"|May",Lists!$J:$L,3,FALSE),0))</f>
        <v/>
      </c>
      <c r="Y108" s="16">
        <f>IF(M108="","",M108*IFERROR(VLOOKUP($A108&amp;"|Jun",Lists!$J:$L,2,FALSE),0)*IFERROR(VLOOKUP($A108&amp;"|Jun",Lists!$J:$L,3,FALSE),0))</f>
        <v/>
      </c>
      <c r="Z108" s="16">
        <f>IF(N108="","",N108*IFERROR(VLOOKUP($A108&amp;"|Jul",Lists!$J:$L,2,FALSE),0)*IFERROR(VLOOKUP($A108&amp;"|Jul",Lists!$J:$L,3,FALSE),0))</f>
        <v/>
      </c>
      <c r="AA108" s="16">
        <f>IF(O108="","",O108*IFERROR(VLOOKUP($A108&amp;"|Aug",Lists!$J:$L,2,FALSE),0)*IFERROR(VLOOKUP($A108&amp;"|Aug",Lists!$J:$L,3,FALSE),0))</f>
        <v/>
      </c>
      <c r="AB108" s="16">
        <f>IF(P108="","",P108*IFERROR(VLOOKUP($A108&amp;"|Sep",Lists!$J:$L,2,FALSE),0)*IFERROR(VLOOKUP($A108&amp;"|Sep",Lists!$J:$L,3,FALSE),0))</f>
        <v/>
      </c>
      <c r="AC108" s="16">
        <f>IF(Q108="","",Q108*IFERROR(VLOOKUP($A108&amp;"|Oct",Lists!$J:$L,2,FALSE),0)*IFERROR(VLOOKUP($A108&amp;"|Oct",Lists!$J:$L,3,FALSE),0))</f>
        <v/>
      </c>
      <c r="AD108" s="16">
        <f>IF(R108="","",R108*IFERROR(VLOOKUP($A108&amp;"|Nov",Lists!$J:$L,2,FALSE),0)*IFERROR(VLOOKUP($A108&amp;"|Nov",Lists!$J:$L,3,FALSE),0))</f>
        <v/>
      </c>
      <c r="AE108" s="16">
        <f>IF(S108="","",S108*IFERROR(VLOOKUP($A108&amp;"|Dec",Lists!$J:$L,2,FALSE),0)*IFERROR(VLOOKUP($A108&amp;"|Dec",Lists!$J:$L,3,FALSE),0))</f>
        <v/>
      </c>
    </row>
    <row r="109">
      <c r="T109" s="19">
        <f>IF($A109="","",VLOOKUP($A109,DevRateTable,3,FALSE))</f>
        <v/>
      </c>
      <c r="U109" s="16">
        <f>IF(I109="","",I109*IFERROR(VLOOKUP($A109&amp;"|Feb",Lists!$J:$L,2,FALSE),0)*IFERROR(VLOOKUP($A109&amp;"|Feb",Lists!$J:$L,3,FALSE),0))</f>
        <v/>
      </c>
      <c r="V109" s="16">
        <f>IF(J109="","",J109*IFERROR(VLOOKUP($A109&amp;"|Mar",Lists!$J:$L,2,FALSE),0)*IFERROR(VLOOKUP($A109&amp;"|Mar",Lists!$J:$L,3,FALSE),0))</f>
        <v/>
      </c>
      <c r="W109" s="16">
        <f>IF(K109="","",K109*IFERROR(VLOOKUP($A109&amp;"|Apr",Lists!$J:$L,2,FALSE),0)*IFERROR(VLOOKUP($A109&amp;"|Apr",Lists!$J:$L,3,FALSE),0))</f>
        <v/>
      </c>
      <c r="X109" s="16">
        <f>IF(L109="","",L109*IFERROR(VLOOKUP($A109&amp;"|May",Lists!$J:$L,2,FALSE),0)*IFERROR(VLOOKUP($A109&amp;"|May",Lists!$J:$L,3,FALSE),0))</f>
        <v/>
      </c>
      <c r="Y109" s="16">
        <f>IF(M109="","",M109*IFERROR(VLOOKUP($A109&amp;"|Jun",Lists!$J:$L,2,FALSE),0)*IFERROR(VLOOKUP($A109&amp;"|Jun",Lists!$J:$L,3,FALSE),0))</f>
        <v/>
      </c>
      <c r="Z109" s="16">
        <f>IF(N109="","",N109*IFERROR(VLOOKUP($A109&amp;"|Jul",Lists!$J:$L,2,FALSE),0)*IFERROR(VLOOKUP($A109&amp;"|Jul",Lists!$J:$L,3,FALSE),0))</f>
        <v/>
      </c>
      <c r="AA109" s="16">
        <f>IF(O109="","",O109*IFERROR(VLOOKUP($A109&amp;"|Aug",Lists!$J:$L,2,FALSE),0)*IFERROR(VLOOKUP($A109&amp;"|Aug",Lists!$J:$L,3,FALSE),0))</f>
        <v/>
      </c>
      <c r="AB109" s="16">
        <f>IF(P109="","",P109*IFERROR(VLOOKUP($A109&amp;"|Sep",Lists!$J:$L,2,FALSE),0)*IFERROR(VLOOKUP($A109&amp;"|Sep",Lists!$J:$L,3,FALSE),0))</f>
        <v/>
      </c>
      <c r="AC109" s="16">
        <f>IF(Q109="","",Q109*IFERROR(VLOOKUP($A109&amp;"|Oct",Lists!$J:$L,2,FALSE),0)*IFERROR(VLOOKUP($A109&amp;"|Oct",Lists!$J:$L,3,FALSE),0))</f>
        <v/>
      </c>
      <c r="AD109" s="16">
        <f>IF(R109="","",R109*IFERROR(VLOOKUP($A109&amp;"|Nov",Lists!$J:$L,2,FALSE),0)*IFERROR(VLOOKUP($A109&amp;"|Nov",Lists!$J:$L,3,FALSE),0))</f>
        <v/>
      </c>
      <c r="AE109" s="16">
        <f>IF(S109="","",S109*IFERROR(VLOOKUP($A109&amp;"|Dec",Lists!$J:$L,2,FALSE),0)*IFERROR(VLOOKUP($A109&amp;"|Dec",Lists!$J:$L,3,FALSE),0))</f>
        <v/>
      </c>
    </row>
    <row r="110">
      <c r="T110" s="19">
        <f>IF($A110="","",VLOOKUP($A110,DevRateTable,3,FALSE))</f>
        <v/>
      </c>
      <c r="U110" s="16">
        <f>IF(I110="","",I110*IFERROR(VLOOKUP($A110&amp;"|Feb",Lists!$J:$L,2,FALSE),0)*IFERROR(VLOOKUP($A110&amp;"|Feb",Lists!$J:$L,3,FALSE),0))</f>
        <v/>
      </c>
      <c r="V110" s="16">
        <f>IF(J110="","",J110*IFERROR(VLOOKUP($A110&amp;"|Mar",Lists!$J:$L,2,FALSE),0)*IFERROR(VLOOKUP($A110&amp;"|Mar",Lists!$J:$L,3,FALSE),0))</f>
        <v/>
      </c>
      <c r="W110" s="16">
        <f>IF(K110="","",K110*IFERROR(VLOOKUP($A110&amp;"|Apr",Lists!$J:$L,2,FALSE),0)*IFERROR(VLOOKUP($A110&amp;"|Apr",Lists!$J:$L,3,FALSE),0))</f>
        <v/>
      </c>
      <c r="X110" s="16">
        <f>IF(L110="","",L110*IFERROR(VLOOKUP($A110&amp;"|May",Lists!$J:$L,2,FALSE),0)*IFERROR(VLOOKUP($A110&amp;"|May",Lists!$J:$L,3,FALSE),0))</f>
        <v/>
      </c>
      <c r="Y110" s="16">
        <f>IF(M110="","",M110*IFERROR(VLOOKUP($A110&amp;"|Jun",Lists!$J:$L,2,FALSE),0)*IFERROR(VLOOKUP($A110&amp;"|Jun",Lists!$J:$L,3,FALSE),0))</f>
        <v/>
      </c>
      <c r="Z110" s="16">
        <f>IF(N110="","",N110*IFERROR(VLOOKUP($A110&amp;"|Jul",Lists!$J:$L,2,FALSE),0)*IFERROR(VLOOKUP($A110&amp;"|Jul",Lists!$J:$L,3,FALSE),0))</f>
        <v/>
      </c>
      <c r="AA110" s="16">
        <f>IF(O110="","",O110*IFERROR(VLOOKUP($A110&amp;"|Aug",Lists!$J:$L,2,FALSE),0)*IFERROR(VLOOKUP($A110&amp;"|Aug",Lists!$J:$L,3,FALSE),0))</f>
        <v/>
      </c>
      <c r="AB110" s="16">
        <f>IF(P110="","",P110*IFERROR(VLOOKUP($A110&amp;"|Sep",Lists!$J:$L,2,FALSE),0)*IFERROR(VLOOKUP($A110&amp;"|Sep",Lists!$J:$L,3,FALSE),0))</f>
        <v/>
      </c>
      <c r="AC110" s="16">
        <f>IF(Q110="","",Q110*IFERROR(VLOOKUP($A110&amp;"|Oct",Lists!$J:$L,2,FALSE),0)*IFERROR(VLOOKUP($A110&amp;"|Oct",Lists!$J:$L,3,FALSE),0))</f>
        <v/>
      </c>
      <c r="AD110" s="16">
        <f>IF(R110="","",R110*IFERROR(VLOOKUP($A110&amp;"|Nov",Lists!$J:$L,2,FALSE),0)*IFERROR(VLOOKUP($A110&amp;"|Nov",Lists!$J:$L,3,FALSE),0))</f>
        <v/>
      </c>
      <c r="AE110" s="16">
        <f>IF(S110="","",S110*IFERROR(VLOOKUP($A110&amp;"|Dec",Lists!$J:$L,2,FALSE),0)*IFERROR(VLOOKUP($A110&amp;"|Dec",Lists!$J:$L,3,FALSE),0))</f>
        <v/>
      </c>
    </row>
    <row r="111">
      <c r="T111" s="19">
        <f>IF($A111="","",VLOOKUP($A111,DevRateTable,3,FALSE))</f>
        <v/>
      </c>
      <c r="U111" s="16">
        <f>IF(I111="","",I111*IFERROR(VLOOKUP($A111&amp;"|Feb",Lists!$J:$L,2,FALSE),0)*IFERROR(VLOOKUP($A111&amp;"|Feb",Lists!$J:$L,3,FALSE),0))</f>
        <v/>
      </c>
      <c r="V111" s="16">
        <f>IF(J111="","",J111*IFERROR(VLOOKUP($A111&amp;"|Mar",Lists!$J:$L,2,FALSE),0)*IFERROR(VLOOKUP($A111&amp;"|Mar",Lists!$J:$L,3,FALSE),0))</f>
        <v/>
      </c>
      <c r="W111" s="16">
        <f>IF(K111="","",K111*IFERROR(VLOOKUP($A111&amp;"|Apr",Lists!$J:$L,2,FALSE),0)*IFERROR(VLOOKUP($A111&amp;"|Apr",Lists!$J:$L,3,FALSE),0))</f>
        <v/>
      </c>
      <c r="X111" s="16">
        <f>IF(L111="","",L111*IFERROR(VLOOKUP($A111&amp;"|May",Lists!$J:$L,2,FALSE),0)*IFERROR(VLOOKUP($A111&amp;"|May",Lists!$J:$L,3,FALSE),0))</f>
        <v/>
      </c>
      <c r="Y111" s="16">
        <f>IF(M111="","",M111*IFERROR(VLOOKUP($A111&amp;"|Jun",Lists!$J:$L,2,FALSE),0)*IFERROR(VLOOKUP($A111&amp;"|Jun",Lists!$J:$L,3,FALSE),0))</f>
        <v/>
      </c>
      <c r="Z111" s="16">
        <f>IF(N111="","",N111*IFERROR(VLOOKUP($A111&amp;"|Jul",Lists!$J:$L,2,FALSE),0)*IFERROR(VLOOKUP($A111&amp;"|Jul",Lists!$J:$L,3,FALSE),0))</f>
        <v/>
      </c>
      <c r="AA111" s="16">
        <f>IF(O111="","",O111*IFERROR(VLOOKUP($A111&amp;"|Aug",Lists!$J:$L,2,FALSE),0)*IFERROR(VLOOKUP($A111&amp;"|Aug",Lists!$J:$L,3,FALSE),0))</f>
        <v/>
      </c>
      <c r="AB111" s="16">
        <f>IF(P111="","",P111*IFERROR(VLOOKUP($A111&amp;"|Sep",Lists!$J:$L,2,FALSE),0)*IFERROR(VLOOKUP($A111&amp;"|Sep",Lists!$J:$L,3,FALSE),0))</f>
        <v/>
      </c>
      <c r="AC111" s="16">
        <f>IF(Q111="","",Q111*IFERROR(VLOOKUP($A111&amp;"|Oct",Lists!$J:$L,2,FALSE),0)*IFERROR(VLOOKUP($A111&amp;"|Oct",Lists!$J:$L,3,FALSE),0))</f>
        <v/>
      </c>
      <c r="AD111" s="16">
        <f>IF(R111="","",R111*IFERROR(VLOOKUP($A111&amp;"|Nov",Lists!$J:$L,2,FALSE),0)*IFERROR(VLOOKUP($A111&amp;"|Nov",Lists!$J:$L,3,FALSE),0))</f>
        <v/>
      </c>
      <c r="AE111" s="16">
        <f>IF(S111="","",S111*IFERROR(VLOOKUP($A111&amp;"|Dec",Lists!$J:$L,2,FALSE),0)*IFERROR(VLOOKUP($A111&amp;"|Dec",Lists!$J:$L,3,FALSE),0))</f>
        <v/>
      </c>
    </row>
    <row r="112">
      <c r="T112" s="19">
        <f>IF($A112="","",VLOOKUP($A112,DevRateTable,3,FALSE))</f>
        <v/>
      </c>
      <c r="U112" s="16">
        <f>IF(I112="","",I112*IFERROR(VLOOKUP($A112&amp;"|Feb",Lists!$J:$L,2,FALSE),0)*IFERROR(VLOOKUP($A112&amp;"|Feb",Lists!$J:$L,3,FALSE),0))</f>
        <v/>
      </c>
      <c r="V112" s="16">
        <f>IF(J112="","",J112*IFERROR(VLOOKUP($A112&amp;"|Mar",Lists!$J:$L,2,FALSE),0)*IFERROR(VLOOKUP($A112&amp;"|Mar",Lists!$J:$L,3,FALSE),0))</f>
        <v/>
      </c>
      <c r="W112" s="16">
        <f>IF(K112="","",K112*IFERROR(VLOOKUP($A112&amp;"|Apr",Lists!$J:$L,2,FALSE),0)*IFERROR(VLOOKUP($A112&amp;"|Apr",Lists!$J:$L,3,FALSE),0))</f>
        <v/>
      </c>
      <c r="X112" s="16">
        <f>IF(L112="","",L112*IFERROR(VLOOKUP($A112&amp;"|May",Lists!$J:$L,2,FALSE),0)*IFERROR(VLOOKUP($A112&amp;"|May",Lists!$J:$L,3,FALSE),0))</f>
        <v/>
      </c>
      <c r="Y112" s="16">
        <f>IF(M112="","",M112*IFERROR(VLOOKUP($A112&amp;"|Jun",Lists!$J:$L,2,FALSE),0)*IFERROR(VLOOKUP($A112&amp;"|Jun",Lists!$J:$L,3,FALSE),0))</f>
        <v/>
      </c>
      <c r="Z112" s="16">
        <f>IF(N112="","",N112*IFERROR(VLOOKUP($A112&amp;"|Jul",Lists!$J:$L,2,FALSE),0)*IFERROR(VLOOKUP($A112&amp;"|Jul",Lists!$J:$L,3,FALSE),0))</f>
        <v/>
      </c>
      <c r="AA112" s="16">
        <f>IF(O112="","",O112*IFERROR(VLOOKUP($A112&amp;"|Aug",Lists!$J:$L,2,FALSE),0)*IFERROR(VLOOKUP($A112&amp;"|Aug",Lists!$J:$L,3,FALSE),0))</f>
        <v/>
      </c>
      <c r="AB112" s="16">
        <f>IF(P112="","",P112*IFERROR(VLOOKUP($A112&amp;"|Sep",Lists!$J:$L,2,FALSE),0)*IFERROR(VLOOKUP($A112&amp;"|Sep",Lists!$J:$L,3,FALSE),0))</f>
        <v/>
      </c>
      <c r="AC112" s="16">
        <f>IF(Q112="","",Q112*IFERROR(VLOOKUP($A112&amp;"|Oct",Lists!$J:$L,2,FALSE),0)*IFERROR(VLOOKUP($A112&amp;"|Oct",Lists!$J:$L,3,FALSE),0))</f>
        <v/>
      </c>
      <c r="AD112" s="16">
        <f>IF(R112="","",R112*IFERROR(VLOOKUP($A112&amp;"|Nov",Lists!$J:$L,2,FALSE),0)*IFERROR(VLOOKUP($A112&amp;"|Nov",Lists!$J:$L,3,FALSE),0))</f>
        <v/>
      </c>
      <c r="AE112" s="16">
        <f>IF(S112="","",S112*IFERROR(VLOOKUP($A112&amp;"|Dec",Lists!$J:$L,2,FALSE),0)*IFERROR(VLOOKUP($A112&amp;"|Dec",Lists!$J:$L,3,FALSE),0))</f>
        <v/>
      </c>
    </row>
    <row r="113">
      <c r="T113" s="19">
        <f>IF($A113="","",VLOOKUP($A113,DevRateTable,3,FALSE))</f>
        <v/>
      </c>
      <c r="U113" s="16">
        <f>IF(I113="","",I113*IFERROR(VLOOKUP($A113&amp;"|Feb",Lists!$J:$L,2,FALSE),0)*IFERROR(VLOOKUP($A113&amp;"|Feb",Lists!$J:$L,3,FALSE),0))</f>
        <v/>
      </c>
      <c r="V113" s="16">
        <f>IF(J113="","",J113*IFERROR(VLOOKUP($A113&amp;"|Mar",Lists!$J:$L,2,FALSE),0)*IFERROR(VLOOKUP($A113&amp;"|Mar",Lists!$J:$L,3,FALSE),0))</f>
        <v/>
      </c>
      <c r="W113" s="16">
        <f>IF(K113="","",K113*IFERROR(VLOOKUP($A113&amp;"|Apr",Lists!$J:$L,2,FALSE),0)*IFERROR(VLOOKUP($A113&amp;"|Apr",Lists!$J:$L,3,FALSE),0))</f>
        <v/>
      </c>
      <c r="X113" s="16">
        <f>IF(L113="","",L113*IFERROR(VLOOKUP($A113&amp;"|May",Lists!$J:$L,2,FALSE),0)*IFERROR(VLOOKUP($A113&amp;"|May",Lists!$J:$L,3,FALSE),0))</f>
        <v/>
      </c>
      <c r="Y113" s="16">
        <f>IF(M113="","",M113*IFERROR(VLOOKUP($A113&amp;"|Jun",Lists!$J:$L,2,FALSE),0)*IFERROR(VLOOKUP($A113&amp;"|Jun",Lists!$J:$L,3,FALSE),0))</f>
        <v/>
      </c>
      <c r="Z113" s="16">
        <f>IF(N113="","",N113*IFERROR(VLOOKUP($A113&amp;"|Jul",Lists!$J:$L,2,FALSE),0)*IFERROR(VLOOKUP($A113&amp;"|Jul",Lists!$J:$L,3,FALSE),0))</f>
        <v/>
      </c>
      <c r="AA113" s="16">
        <f>IF(O113="","",O113*IFERROR(VLOOKUP($A113&amp;"|Aug",Lists!$J:$L,2,FALSE),0)*IFERROR(VLOOKUP($A113&amp;"|Aug",Lists!$J:$L,3,FALSE),0))</f>
        <v/>
      </c>
      <c r="AB113" s="16">
        <f>IF(P113="","",P113*IFERROR(VLOOKUP($A113&amp;"|Sep",Lists!$J:$L,2,FALSE),0)*IFERROR(VLOOKUP($A113&amp;"|Sep",Lists!$J:$L,3,FALSE),0))</f>
        <v/>
      </c>
      <c r="AC113" s="16">
        <f>IF(Q113="","",Q113*IFERROR(VLOOKUP($A113&amp;"|Oct",Lists!$J:$L,2,FALSE),0)*IFERROR(VLOOKUP($A113&amp;"|Oct",Lists!$J:$L,3,FALSE),0))</f>
        <v/>
      </c>
      <c r="AD113" s="16">
        <f>IF(R113="","",R113*IFERROR(VLOOKUP($A113&amp;"|Nov",Lists!$J:$L,2,FALSE),0)*IFERROR(VLOOKUP($A113&amp;"|Nov",Lists!$J:$L,3,FALSE),0))</f>
        <v/>
      </c>
      <c r="AE113" s="16">
        <f>IF(S113="","",S113*IFERROR(VLOOKUP($A113&amp;"|Dec",Lists!$J:$L,2,FALSE),0)*IFERROR(VLOOKUP($A113&amp;"|Dec",Lists!$J:$L,3,FALSE),0))</f>
        <v/>
      </c>
    </row>
    <row r="114">
      <c r="T114" s="19">
        <f>IF($A114="","",VLOOKUP($A114,DevRateTable,3,FALSE))</f>
        <v/>
      </c>
      <c r="U114" s="16">
        <f>IF(I114="","",I114*IFERROR(VLOOKUP($A114&amp;"|Feb",Lists!$J:$L,2,FALSE),0)*IFERROR(VLOOKUP($A114&amp;"|Feb",Lists!$J:$L,3,FALSE),0))</f>
        <v/>
      </c>
      <c r="V114" s="16">
        <f>IF(J114="","",J114*IFERROR(VLOOKUP($A114&amp;"|Mar",Lists!$J:$L,2,FALSE),0)*IFERROR(VLOOKUP($A114&amp;"|Mar",Lists!$J:$L,3,FALSE),0))</f>
        <v/>
      </c>
      <c r="W114" s="16">
        <f>IF(K114="","",K114*IFERROR(VLOOKUP($A114&amp;"|Apr",Lists!$J:$L,2,FALSE),0)*IFERROR(VLOOKUP($A114&amp;"|Apr",Lists!$J:$L,3,FALSE),0))</f>
        <v/>
      </c>
      <c r="X114" s="16">
        <f>IF(L114="","",L114*IFERROR(VLOOKUP($A114&amp;"|May",Lists!$J:$L,2,FALSE),0)*IFERROR(VLOOKUP($A114&amp;"|May",Lists!$J:$L,3,FALSE),0))</f>
        <v/>
      </c>
      <c r="Y114" s="16">
        <f>IF(M114="","",M114*IFERROR(VLOOKUP($A114&amp;"|Jun",Lists!$J:$L,2,FALSE),0)*IFERROR(VLOOKUP($A114&amp;"|Jun",Lists!$J:$L,3,FALSE),0))</f>
        <v/>
      </c>
      <c r="Z114" s="16">
        <f>IF(N114="","",N114*IFERROR(VLOOKUP($A114&amp;"|Jul",Lists!$J:$L,2,FALSE),0)*IFERROR(VLOOKUP($A114&amp;"|Jul",Lists!$J:$L,3,FALSE),0))</f>
        <v/>
      </c>
      <c r="AA114" s="16">
        <f>IF(O114="","",O114*IFERROR(VLOOKUP($A114&amp;"|Aug",Lists!$J:$L,2,FALSE),0)*IFERROR(VLOOKUP($A114&amp;"|Aug",Lists!$J:$L,3,FALSE),0))</f>
        <v/>
      </c>
      <c r="AB114" s="16">
        <f>IF(P114="","",P114*IFERROR(VLOOKUP($A114&amp;"|Sep",Lists!$J:$L,2,FALSE),0)*IFERROR(VLOOKUP($A114&amp;"|Sep",Lists!$J:$L,3,FALSE),0))</f>
        <v/>
      </c>
      <c r="AC114" s="16">
        <f>IF(Q114="","",Q114*IFERROR(VLOOKUP($A114&amp;"|Oct",Lists!$J:$L,2,FALSE),0)*IFERROR(VLOOKUP($A114&amp;"|Oct",Lists!$J:$L,3,FALSE),0))</f>
        <v/>
      </c>
      <c r="AD114" s="16">
        <f>IF(R114="","",R114*IFERROR(VLOOKUP($A114&amp;"|Nov",Lists!$J:$L,2,FALSE),0)*IFERROR(VLOOKUP($A114&amp;"|Nov",Lists!$J:$L,3,FALSE),0))</f>
        <v/>
      </c>
      <c r="AE114" s="16">
        <f>IF(S114="","",S114*IFERROR(VLOOKUP($A114&amp;"|Dec",Lists!$J:$L,2,FALSE),0)*IFERROR(VLOOKUP($A114&amp;"|Dec",Lists!$J:$L,3,FALSE),0))</f>
        <v/>
      </c>
    </row>
    <row r="115">
      <c r="T115" s="19">
        <f>IF($A115="","",VLOOKUP($A115,DevRateTable,3,FALSE))</f>
        <v/>
      </c>
      <c r="U115" s="16">
        <f>IF(I115="","",I115*IFERROR(VLOOKUP($A115&amp;"|Feb",Lists!$J:$L,2,FALSE),0)*IFERROR(VLOOKUP($A115&amp;"|Feb",Lists!$J:$L,3,FALSE),0))</f>
        <v/>
      </c>
      <c r="V115" s="16">
        <f>IF(J115="","",J115*IFERROR(VLOOKUP($A115&amp;"|Mar",Lists!$J:$L,2,FALSE),0)*IFERROR(VLOOKUP($A115&amp;"|Mar",Lists!$J:$L,3,FALSE),0))</f>
        <v/>
      </c>
      <c r="W115" s="16">
        <f>IF(K115="","",K115*IFERROR(VLOOKUP($A115&amp;"|Apr",Lists!$J:$L,2,FALSE),0)*IFERROR(VLOOKUP($A115&amp;"|Apr",Lists!$J:$L,3,FALSE),0))</f>
        <v/>
      </c>
      <c r="X115" s="16">
        <f>IF(L115="","",L115*IFERROR(VLOOKUP($A115&amp;"|May",Lists!$J:$L,2,FALSE),0)*IFERROR(VLOOKUP($A115&amp;"|May",Lists!$J:$L,3,FALSE),0))</f>
        <v/>
      </c>
      <c r="Y115" s="16">
        <f>IF(M115="","",M115*IFERROR(VLOOKUP($A115&amp;"|Jun",Lists!$J:$L,2,FALSE),0)*IFERROR(VLOOKUP($A115&amp;"|Jun",Lists!$J:$L,3,FALSE),0))</f>
        <v/>
      </c>
      <c r="Z115" s="16">
        <f>IF(N115="","",N115*IFERROR(VLOOKUP($A115&amp;"|Jul",Lists!$J:$L,2,FALSE),0)*IFERROR(VLOOKUP($A115&amp;"|Jul",Lists!$J:$L,3,FALSE),0))</f>
        <v/>
      </c>
      <c r="AA115" s="16">
        <f>IF(O115="","",O115*IFERROR(VLOOKUP($A115&amp;"|Aug",Lists!$J:$L,2,FALSE),0)*IFERROR(VLOOKUP($A115&amp;"|Aug",Lists!$J:$L,3,FALSE),0))</f>
        <v/>
      </c>
      <c r="AB115" s="16">
        <f>IF(P115="","",P115*IFERROR(VLOOKUP($A115&amp;"|Sep",Lists!$J:$L,2,FALSE),0)*IFERROR(VLOOKUP($A115&amp;"|Sep",Lists!$J:$L,3,FALSE),0))</f>
        <v/>
      </c>
      <c r="AC115" s="16">
        <f>IF(Q115="","",Q115*IFERROR(VLOOKUP($A115&amp;"|Oct",Lists!$J:$L,2,FALSE),0)*IFERROR(VLOOKUP($A115&amp;"|Oct",Lists!$J:$L,3,FALSE),0))</f>
        <v/>
      </c>
      <c r="AD115" s="16">
        <f>IF(R115="","",R115*IFERROR(VLOOKUP($A115&amp;"|Nov",Lists!$J:$L,2,FALSE),0)*IFERROR(VLOOKUP($A115&amp;"|Nov",Lists!$J:$L,3,FALSE),0))</f>
        <v/>
      </c>
      <c r="AE115" s="16">
        <f>IF(S115="","",S115*IFERROR(VLOOKUP($A115&amp;"|Dec",Lists!$J:$L,2,FALSE),0)*IFERROR(VLOOKUP($A115&amp;"|Dec",Lists!$J:$L,3,FALSE),0))</f>
        <v/>
      </c>
    </row>
    <row r="116">
      <c r="T116" s="19">
        <f>IF($A116="","",VLOOKUP($A116,DevRateTable,3,FALSE))</f>
        <v/>
      </c>
      <c r="U116" s="16">
        <f>IF(I116="","",I116*IFERROR(VLOOKUP($A116&amp;"|Feb",Lists!$J:$L,2,FALSE),0)*IFERROR(VLOOKUP($A116&amp;"|Feb",Lists!$J:$L,3,FALSE),0))</f>
        <v/>
      </c>
      <c r="V116" s="16">
        <f>IF(J116="","",J116*IFERROR(VLOOKUP($A116&amp;"|Mar",Lists!$J:$L,2,FALSE),0)*IFERROR(VLOOKUP($A116&amp;"|Mar",Lists!$J:$L,3,FALSE),0))</f>
        <v/>
      </c>
      <c r="W116" s="16">
        <f>IF(K116="","",K116*IFERROR(VLOOKUP($A116&amp;"|Apr",Lists!$J:$L,2,FALSE),0)*IFERROR(VLOOKUP($A116&amp;"|Apr",Lists!$J:$L,3,FALSE),0))</f>
        <v/>
      </c>
      <c r="X116" s="16">
        <f>IF(L116="","",L116*IFERROR(VLOOKUP($A116&amp;"|May",Lists!$J:$L,2,FALSE),0)*IFERROR(VLOOKUP($A116&amp;"|May",Lists!$J:$L,3,FALSE),0))</f>
        <v/>
      </c>
      <c r="Y116" s="16">
        <f>IF(M116="","",M116*IFERROR(VLOOKUP($A116&amp;"|Jun",Lists!$J:$L,2,FALSE),0)*IFERROR(VLOOKUP($A116&amp;"|Jun",Lists!$J:$L,3,FALSE),0))</f>
        <v/>
      </c>
      <c r="Z116" s="16">
        <f>IF(N116="","",N116*IFERROR(VLOOKUP($A116&amp;"|Jul",Lists!$J:$L,2,FALSE),0)*IFERROR(VLOOKUP($A116&amp;"|Jul",Lists!$J:$L,3,FALSE),0))</f>
        <v/>
      </c>
      <c r="AA116" s="16">
        <f>IF(O116="","",O116*IFERROR(VLOOKUP($A116&amp;"|Aug",Lists!$J:$L,2,FALSE),0)*IFERROR(VLOOKUP($A116&amp;"|Aug",Lists!$J:$L,3,FALSE),0))</f>
        <v/>
      </c>
      <c r="AB116" s="16">
        <f>IF(P116="","",P116*IFERROR(VLOOKUP($A116&amp;"|Sep",Lists!$J:$L,2,FALSE),0)*IFERROR(VLOOKUP($A116&amp;"|Sep",Lists!$J:$L,3,FALSE),0))</f>
        <v/>
      </c>
      <c r="AC116" s="16">
        <f>IF(Q116="","",Q116*IFERROR(VLOOKUP($A116&amp;"|Oct",Lists!$J:$L,2,FALSE),0)*IFERROR(VLOOKUP($A116&amp;"|Oct",Lists!$J:$L,3,FALSE),0))</f>
        <v/>
      </c>
      <c r="AD116" s="16">
        <f>IF(R116="","",R116*IFERROR(VLOOKUP($A116&amp;"|Nov",Lists!$J:$L,2,FALSE),0)*IFERROR(VLOOKUP($A116&amp;"|Nov",Lists!$J:$L,3,FALSE),0))</f>
        <v/>
      </c>
      <c r="AE116" s="16">
        <f>IF(S116="","",S116*IFERROR(VLOOKUP($A116&amp;"|Dec",Lists!$J:$L,2,FALSE),0)*IFERROR(VLOOKUP($A116&amp;"|Dec",Lists!$J:$L,3,FALSE),0))</f>
        <v/>
      </c>
    </row>
    <row r="117">
      <c r="T117" s="19">
        <f>IF($A117="","",VLOOKUP($A117,DevRateTable,3,FALSE))</f>
        <v/>
      </c>
      <c r="U117" s="16">
        <f>IF(I117="","",I117*IFERROR(VLOOKUP($A117&amp;"|Feb",Lists!$J:$L,2,FALSE),0)*IFERROR(VLOOKUP($A117&amp;"|Feb",Lists!$J:$L,3,FALSE),0))</f>
        <v/>
      </c>
      <c r="V117" s="16">
        <f>IF(J117="","",J117*IFERROR(VLOOKUP($A117&amp;"|Mar",Lists!$J:$L,2,FALSE),0)*IFERROR(VLOOKUP($A117&amp;"|Mar",Lists!$J:$L,3,FALSE),0))</f>
        <v/>
      </c>
      <c r="W117" s="16">
        <f>IF(K117="","",K117*IFERROR(VLOOKUP($A117&amp;"|Apr",Lists!$J:$L,2,FALSE),0)*IFERROR(VLOOKUP($A117&amp;"|Apr",Lists!$J:$L,3,FALSE),0))</f>
        <v/>
      </c>
      <c r="X117" s="16">
        <f>IF(L117="","",L117*IFERROR(VLOOKUP($A117&amp;"|May",Lists!$J:$L,2,FALSE),0)*IFERROR(VLOOKUP($A117&amp;"|May",Lists!$J:$L,3,FALSE),0))</f>
        <v/>
      </c>
      <c r="Y117" s="16">
        <f>IF(M117="","",M117*IFERROR(VLOOKUP($A117&amp;"|Jun",Lists!$J:$L,2,FALSE),0)*IFERROR(VLOOKUP($A117&amp;"|Jun",Lists!$J:$L,3,FALSE),0))</f>
        <v/>
      </c>
      <c r="Z117" s="16">
        <f>IF(N117="","",N117*IFERROR(VLOOKUP($A117&amp;"|Jul",Lists!$J:$L,2,FALSE),0)*IFERROR(VLOOKUP($A117&amp;"|Jul",Lists!$J:$L,3,FALSE),0))</f>
        <v/>
      </c>
      <c r="AA117" s="16">
        <f>IF(O117="","",O117*IFERROR(VLOOKUP($A117&amp;"|Aug",Lists!$J:$L,2,FALSE),0)*IFERROR(VLOOKUP($A117&amp;"|Aug",Lists!$J:$L,3,FALSE),0))</f>
        <v/>
      </c>
      <c r="AB117" s="16">
        <f>IF(P117="","",P117*IFERROR(VLOOKUP($A117&amp;"|Sep",Lists!$J:$L,2,FALSE),0)*IFERROR(VLOOKUP($A117&amp;"|Sep",Lists!$J:$L,3,FALSE),0))</f>
        <v/>
      </c>
      <c r="AC117" s="16">
        <f>IF(Q117="","",Q117*IFERROR(VLOOKUP($A117&amp;"|Oct",Lists!$J:$L,2,FALSE),0)*IFERROR(VLOOKUP($A117&amp;"|Oct",Lists!$J:$L,3,FALSE),0))</f>
        <v/>
      </c>
      <c r="AD117" s="16">
        <f>IF(R117="","",R117*IFERROR(VLOOKUP($A117&amp;"|Nov",Lists!$J:$L,2,FALSE),0)*IFERROR(VLOOKUP($A117&amp;"|Nov",Lists!$J:$L,3,FALSE),0))</f>
        <v/>
      </c>
      <c r="AE117" s="16">
        <f>IF(S117="","",S117*IFERROR(VLOOKUP($A117&amp;"|Dec",Lists!$J:$L,2,FALSE),0)*IFERROR(VLOOKUP($A117&amp;"|Dec",Lists!$J:$L,3,FALSE),0))</f>
        <v/>
      </c>
    </row>
    <row r="118">
      <c r="T118" s="19">
        <f>IF($A118="","",VLOOKUP($A118,DevRateTable,3,FALSE))</f>
        <v/>
      </c>
      <c r="U118" s="16">
        <f>IF(I118="","",I118*IFERROR(VLOOKUP($A118&amp;"|Feb",Lists!$J:$L,2,FALSE),0)*IFERROR(VLOOKUP($A118&amp;"|Feb",Lists!$J:$L,3,FALSE),0))</f>
        <v/>
      </c>
      <c r="V118" s="16">
        <f>IF(J118="","",J118*IFERROR(VLOOKUP($A118&amp;"|Mar",Lists!$J:$L,2,FALSE),0)*IFERROR(VLOOKUP($A118&amp;"|Mar",Lists!$J:$L,3,FALSE),0))</f>
        <v/>
      </c>
      <c r="W118" s="16">
        <f>IF(K118="","",K118*IFERROR(VLOOKUP($A118&amp;"|Apr",Lists!$J:$L,2,FALSE),0)*IFERROR(VLOOKUP($A118&amp;"|Apr",Lists!$J:$L,3,FALSE),0))</f>
        <v/>
      </c>
      <c r="X118" s="16">
        <f>IF(L118="","",L118*IFERROR(VLOOKUP($A118&amp;"|May",Lists!$J:$L,2,FALSE),0)*IFERROR(VLOOKUP($A118&amp;"|May",Lists!$J:$L,3,FALSE),0))</f>
        <v/>
      </c>
      <c r="Y118" s="16">
        <f>IF(M118="","",M118*IFERROR(VLOOKUP($A118&amp;"|Jun",Lists!$J:$L,2,FALSE),0)*IFERROR(VLOOKUP($A118&amp;"|Jun",Lists!$J:$L,3,FALSE),0))</f>
        <v/>
      </c>
      <c r="Z118" s="16">
        <f>IF(N118="","",N118*IFERROR(VLOOKUP($A118&amp;"|Jul",Lists!$J:$L,2,FALSE),0)*IFERROR(VLOOKUP($A118&amp;"|Jul",Lists!$J:$L,3,FALSE),0))</f>
        <v/>
      </c>
      <c r="AA118" s="16">
        <f>IF(O118="","",O118*IFERROR(VLOOKUP($A118&amp;"|Aug",Lists!$J:$L,2,FALSE),0)*IFERROR(VLOOKUP($A118&amp;"|Aug",Lists!$J:$L,3,FALSE),0))</f>
        <v/>
      </c>
      <c r="AB118" s="16">
        <f>IF(P118="","",P118*IFERROR(VLOOKUP($A118&amp;"|Sep",Lists!$J:$L,2,FALSE),0)*IFERROR(VLOOKUP($A118&amp;"|Sep",Lists!$J:$L,3,FALSE),0))</f>
        <v/>
      </c>
      <c r="AC118" s="16">
        <f>IF(Q118="","",Q118*IFERROR(VLOOKUP($A118&amp;"|Oct",Lists!$J:$L,2,FALSE),0)*IFERROR(VLOOKUP($A118&amp;"|Oct",Lists!$J:$L,3,FALSE),0))</f>
        <v/>
      </c>
      <c r="AD118" s="16">
        <f>IF(R118="","",R118*IFERROR(VLOOKUP($A118&amp;"|Nov",Lists!$J:$L,2,FALSE),0)*IFERROR(VLOOKUP($A118&amp;"|Nov",Lists!$J:$L,3,FALSE),0))</f>
        <v/>
      </c>
      <c r="AE118" s="16">
        <f>IF(S118="","",S118*IFERROR(VLOOKUP($A118&amp;"|Dec",Lists!$J:$L,2,FALSE),0)*IFERROR(VLOOKUP($A118&amp;"|Dec",Lists!$J:$L,3,FALSE),0))</f>
        <v/>
      </c>
    </row>
    <row r="119">
      <c r="T119" s="19">
        <f>IF($A119="","",VLOOKUP($A119,DevRateTable,3,FALSE))</f>
        <v/>
      </c>
      <c r="U119" s="16">
        <f>IF(I119="","",I119*IFERROR(VLOOKUP($A119&amp;"|Feb",Lists!$J:$L,2,FALSE),0)*IFERROR(VLOOKUP($A119&amp;"|Feb",Lists!$J:$L,3,FALSE),0))</f>
        <v/>
      </c>
      <c r="V119" s="16">
        <f>IF(J119="","",J119*IFERROR(VLOOKUP($A119&amp;"|Mar",Lists!$J:$L,2,FALSE),0)*IFERROR(VLOOKUP($A119&amp;"|Mar",Lists!$J:$L,3,FALSE),0))</f>
        <v/>
      </c>
      <c r="W119" s="16">
        <f>IF(K119="","",K119*IFERROR(VLOOKUP($A119&amp;"|Apr",Lists!$J:$L,2,FALSE),0)*IFERROR(VLOOKUP($A119&amp;"|Apr",Lists!$J:$L,3,FALSE),0))</f>
        <v/>
      </c>
      <c r="X119" s="16">
        <f>IF(L119="","",L119*IFERROR(VLOOKUP($A119&amp;"|May",Lists!$J:$L,2,FALSE),0)*IFERROR(VLOOKUP($A119&amp;"|May",Lists!$J:$L,3,FALSE),0))</f>
        <v/>
      </c>
      <c r="Y119" s="16">
        <f>IF(M119="","",M119*IFERROR(VLOOKUP($A119&amp;"|Jun",Lists!$J:$L,2,FALSE),0)*IFERROR(VLOOKUP($A119&amp;"|Jun",Lists!$J:$L,3,FALSE),0))</f>
        <v/>
      </c>
      <c r="Z119" s="16">
        <f>IF(N119="","",N119*IFERROR(VLOOKUP($A119&amp;"|Jul",Lists!$J:$L,2,FALSE),0)*IFERROR(VLOOKUP($A119&amp;"|Jul",Lists!$J:$L,3,FALSE),0))</f>
        <v/>
      </c>
      <c r="AA119" s="16">
        <f>IF(O119="","",O119*IFERROR(VLOOKUP($A119&amp;"|Aug",Lists!$J:$L,2,FALSE),0)*IFERROR(VLOOKUP($A119&amp;"|Aug",Lists!$J:$L,3,FALSE),0))</f>
        <v/>
      </c>
      <c r="AB119" s="16">
        <f>IF(P119="","",P119*IFERROR(VLOOKUP($A119&amp;"|Sep",Lists!$J:$L,2,FALSE),0)*IFERROR(VLOOKUP($A119&amp;"|Sep",Lists!$J:$L,3,FALSE),0))</f>
        <v/>
      </c>
      <c r="AC119" s="16">
        <f>IF(Q119="","",Q119*IFERROR(VLOOKUP($A119&amp;"|Oct",Lists!$J:$L,2,FALSE),0)*IFERROR(VLOOKUP($A119&amp;"|Oct",Lists!$J:$L,3,FALSE),0))</f>
        <v/>
      </c>
      <c r="AD119" s="16">
        <f>IF(R119="","",R119*IFERROR(VLOOKUP($A119&amp;"|Nov",Lists!$J:$L,2,FALSE),0)*IFERROR(VLOOKUP($A119&amp;"|Nov",Lists!$J:$L,3,FALSE),0))</f>
        <v/>
      </c>
      <c r="AE119" s="16">
        <f>IF(S119="","",S119*IFERROR(VLOOKUP($A119&amp;"|Dec",Lists!$J:$L,2,FALSE),0)*IFERROR(VLOOKUP($A119&amp;"|Dec",Lists!$J:$L,3,FALSE),0))</f>
        <v/>
      </c>
    </row>
    <row r="120">
      <c r="T120" s="19">
        <f>IF($A120="","",VLOOKUP($A120,DevRateTable,3,FALSE))</f>
        <v/>
      </c>
      <c r="U120" s="16">
        <f>IF(I120="","",I120*IFERROR(VLOOKUP($A120&amp;"|Feb",Lists!$J:$L,2,FALSE),0)*IFERROR(VLOOKUP($A120&amp;"|Feb",Lists!$J:$L,3,FALSE),0))</f>
        <v/>
      </c>
      <c r="V120" s="16">
        <f>IF(J120="","",J120*IFERROR(VLOOKUP($A120&amp;"|Mar",Lists!$J:$L,2,FALSE),0)*IFERROR(VLOOKUP($A120&amp;"|Mar",Lists!$J:$L,3,FALSE),0))</f>
        <v/>
      </c>
      <c r="W120" s="16">
        <f>IF(K120="","",K120*IFERROR(VLOOKUP($A120&amp;"|Apr",Lists!$J:$L,2,FALSE),0)*IFERROR(VLOOKUP($A120&amp;"|Apr",Lists!$J:$L,3,FALSE),0))</f>
        <v/>
      </c>
      <c r="X120" s="16">
        <f>IF(L120="","",L120*IFERROR(VLOOKUP($A120&amp;"|May",Lists!$J:$L,2,FALSE),0)*IFERROR(VLOOKUP($A120&amp;"|May",Lists!$J:$L,3,FALSE),0))</f>
        <v/>
      </c>
      <c r="Y120" s="16">
        <f>IF(M120="","",M120*IFERROR(VLOOKUP($A120&amp;"|Jun",Lists!$J:$L,2,FALSE),0)*IFERROR(VLOOKUP($A120&amp;"|Jun",Lists!$J:$L,3,FALSE),0))</f>
        <v/>
      </c>
      <c r="Z120" s="16">
        <f>IF(N120="","",N120*IFERROR(VLOOKUP($A120&amp;"|Jul",Lists!$J:$L,2,FALSE),0)*IFERROR(VLOOKUP($A120&amp;"|Jul",Lists!$J:$L,3,FALSE),0))</f>
        <v/>
      </c>
      <c r="AA120" s="16">
        <f>IF(O120="","",O120*IFERROR(VLOOKUP($A120&amp;"|Aug",Lists!$J:$L,2,FALSE),0)*IFERROR(VLOOKUP($A120&amp;"|Aug",Lists!$J:$L,3,FALSE),0))</f>
        <v/>
      </c>
      <c r="AB120" s="16">
        <f>IF(P120="","",P120*IFERROR(VLOOKUP($A120&amp;"|Sep",Lists!$J:$L,2,FALSE),0)*IFERROR(VLOOKUP($A120&amp;"|Sep",Lists!$J:$L,3,FALSE),0))</f>
        <v/>
      </c>
      <c r="AC120" s="16">
        <f>IF(Q120="","",Q120*IFERROR(VLOOKUP($A120&amp;"|Oct",Lists!$J:$L,2,FALSE),0)*IFERROR(VLOOKUP($A120&amp;"|Oct",Lists!$J:$L,3,FALSE),0))</f>
        <v/>
      </c>
      <c r="AD120" s="16">
        <f>IF(R120="","",R120*IFERROR(VLOOKUP($A120&amp;"|Nov",Lists!$J:$L,2,FALSE),0)*IFERROR(VLOOKUP($A120&amp;"|Nov",Lists!$J:$L,3,FALSE),0))</f>
        <v/>
      </c>
      <c r="AE120" s="16">
        <f>IF(S120="","",S120*IFERROR(VLOOKUP($A120&amp;"|Dec",Lists!$J:$L,2,FALSE),0)*IFERROR(VLOOKUP($A120&amp;"|Dec",Lists!$J:$L,3,FALSE),0))</f>
        <v/>
      </c>
    </row>
    <row r="121">
      <c r="T121" s="19">
        <f>IF($A121="","",VLOOKUP($A121,DevRateTable,3,FALSE))</f>
        <v/>
      </c>
      <c r="U121" s="16">
        <f>IF(I121="","",I121*IFERROR(VLOOKUP($A121&amp;"|Feb",Lists!$J:$L,2,FALSE),0)*IFERROR(VLOOKUP($A121&amp;"|Feb",Lists!$J:$L,3,FALSE),0))</f>
        <v/>
      </c>
      <c r="V121" s="16">
        <f>IF(J121="","",J121*IFERROR(VLOOKUP($A121&amp;"|Mar",Lists!$J:$L,2,FALSE),0)*IFERROR(VLOOKUP($A121&amp;"|Mar",Lists!$J:$L,3,FALSE),0))</f>
        <v/>
      </c>
      <c r="W121" s="16">
        <f>IF(K121="","",K121*IFERROR(VLOOKUP($A121&amp;"|Apr",Lists!$J:$L,2,FALSE),0)*IFERROR(VLOOKUP($A121&amp;"|Apr",Lists!$J:$L,3,FALSE),0))</f>
        <v/>
      </c>
      <c r="X121" s="16">
        <f>IF(L121="","",L121*IFERROR(VLOOKUP($A121&amp;"|May",Lists!$J:$L,2,FALSE),0)*IFERROR(VLOOKUP($A121&amp;"|May",Lists!$J:$L,3,FALSE),0))</f>
        <v/>
      </c>
      <c r="Y121" s="16">
        <f>IF(M121="","",M121*IFERROR(VLOOKUP($A121&amp;"|Jun",Lists!$J:$L,2,FALSE),0)*IFERROR(VLOOKUP($A121&amp;"|Jun",Lists!$J:$L,3,FALSE),0))</f>
        <v/>
      </c>
      <c r="Z121" s="16">
        <f>IF(N121="","",N121*IFERROR(VLOOKUP($A121&amp;"|Jul",Lists!$J:$L,2,FALSE),0)*IFERROR(VLOOKUP($A121&amp;"|Jul",Lists!$J:$L,3,FALSE),0))</f>
        <v/>
      </c>
      <c r="AA121" s="16">
        <f>IF(O121="","",O121*IFERROR(VLOOKUP($A121&amp;"|Aug",Lists!$J:$L,2,FALSE),0)*IFERROR(VLOOKUP($A121&amp;"|Aug",Lists!$J:$L,3,FALSE),0))</f>
        <v/>
      </c>
      <c r="AB121" s="16">
        <f>IF(P121="","",P121*IFERROR(VLOOKUP($A121&amp;"|Sep",Lists!$J:$L,2,FALSE),0)*IFERROR(VLOOKUP($A121&amp;"|Sep",Lists!$J:$L,3,FALSE),0))</f>
        <v/>
      </c>
      <c r="AC121" s="16">
        <f>IF(Q121="","",Q121*IFERROR(VLOOKUP($A121&amp;"|Oct",Lists!$J:$L,2,FALSE),0)*IFERROR(VLOOKUP($A121&amp;"|Oct",Lists!$J:$L,3,FALSE),0))</f>
        <v/>
      </c>
      <c r="AD121" s="16">
        <f>IF(R121="","",R121*IFERROR(VLOOKUP($A121&amp;"|Nov",Lists!$J:$L,2,FALSE),0)*IFERROR(VLOOKUP($A121&amp;"|Nov",Lists!$J:$L,3,FALSE),0))</f>
        <v/>
      </c>
      <c r="AE121" s="16">
        <f>IF(S121="","",S121*IFERROR(VLOOKUP($A121&amp;"|Dec",Lists!$J:$L,2,FALSE),0)*IFERROR(VLOOKUP($A121&amp;"|Dec",Lists!$J:$L,3,FALSE),0))</f>
        <v/>
      </c>
    </row>
    <row r="122">
      <c r="T122" s="19">
        <f>IF($A122="","",VLOOKUP($A122,DevRateTable,3,FALSE))</f>
        <v/>
      </c>
      <c r="U122" s="16">
        <f>IF(I122="","",I122*IFERROR(VLOOKUP($A122&amp;"|Feb",Lists!$J:$L,2,FALSE),0)*IFERROR(VLOOKUP($A122&amp;"|Feb",Lists!$J:$L,3,FALSE),0))</f>
        <v/>
      </c>
      <c r="V122" s="16">
        <f>IF(J122="","",J122*IFERROR(VLOOKUP($A122&amp;"|Mar",Lists!$J:$L,2,FALSE),0)*IFERROR(VLOOKUP($A122&amp;"|Mar",Lists!$J:$L,3,FALSE),0))</f>
        <v/>
      </c>
      <c r="W122" s="16">
        <f>IF(K122="","",K122*IFERROR(VLOOKUP($A122&amp;"|Apr",Lists!$J:$L,2,FALSE),0)*IFERROR(VLOOKUP($A122&amp;"|Apr",Lists!$J:$L,3,FALSE),0))</f>
        <v/>
      </c>
      <c r="X122" s="16">
        <f>IF(L122="","",L122*IFERROR(VLOOKUP($A122&amp;"|May",Lists!$J:$L,2,FALSE),0)*IFERROR(VLOOKUP($A122&amp;"|May",Lists!$J:$L,3,FALSE),0))</f>
        <v/>
      </c>
      <c r="Y122" s="16">
        <f>IF(M122="","",M122*IFERROR(VLOOKUP($A122&amp;"|Jun",Lists!$J:$L,2,FALSE),0)*IFERROR(VLOOKUP($A122&amp;"|Jun",Lists!$J:$L,3,FALSE),0))</f>
        <v/>
      </c>
      <c r="Z122" s="16">
        <f>IF(N122="","",N122*IFERROR(VLOOKUP($A122&amp;"|Jul",Lists!$J:$L,2,FALSE),0)*IFERROR(VLOOKUP($A122&amp;"|Jul",Lists!$J:$L,3,FALSE),0))</f>
        <v/>
      </c>
      <c r="AA122" s="16">
        <f>IF(O122="","",O122*IFERROR(VLOOKUP($A122&amp;"|Aug",Lists!$J:$L,2,FALSE),0)*IFERROR(VLOOKUP($A122&amp;"|Aug",Lists!$J:$L,3,FALSE),0))</f>
        <v/>
      </c>
      <c r="AB122" s="16">
        <f>IF(P122="","",P122*IFERROR(VLOOKUP($A122&amp;"|Sep",Lists!$J:$L,2,FALSE),0)*IFERROR(VLOOKUP($A122&amp;"|Sep",Lists!$J:$L,3,FALSE),0))</f>
        <v/>
      </c>
      <c r="AC122" s="16">
        <f>IF(Q122="","",Q122*IFERROR(VLOOKUP($A122&amp;"|Oct",Lists!$J:$L,2,FALSE),0)*IFERROR(VLOOKUP($A122&amp;"|Oct",Lists!$J:$L,3,FALSE),0))</f>
        <v/>
      </c>
      <c r="AD122" s="16">
        <f>IF(R122="","",R122*IFERROR(VLOOKUP($A122&amp;"|Nov",Lists!$J:$L,2,FALSE),0)*IFERROR(VLOOKUP($A122&amp;"|Nov",Lists!$J:$L,3,FALSE),0))</f>
        <v/>
      </c>
      <c r="AE122" s="16">
        <f>IF(S122="","",S122*IFERROR(VLOOKUP($A122&amp;"|Dec",Lists!$J:$L,2,FALSE),0)*IFERROR(VLOOKUP($A122&amp;"|Dec",Lists!$J:$L,3,FALSE),0))</f>
        <v/>
      </c>
    </row>
    <row r="123">
      <c r="T123" s="19">
        <f>IF($A123="","",VLOOKUP($A123,DevRateTable,3,FALSE))</f>
        <v/>
      </c>
      <c r="U123" s="16">
        <f>IF(I123="","",I123*IFERROR(VLOOKUP($A123&amp;"|Feb",Lists!$J:$L,2,FALSE),0)*IFERROR(VLOOKUP($A123&amp;"|Feb",Lists!$J:$L,3,FALSE),0))</f>
        <v/>
      </c>
      <c r="V123" s="16">
        <f>IF(J123="","",J123*IFERROR(VLOOKUP($A123&amp;"|Mar",Lists!$J:$L,2,FALSE),0)*IFERROR(VLOOKUP($A123&amp;"|Mar",Lists!$J:$L,3,FALSE),0))</f>
        <v/>
      </c>
      <c r="W123" s="16">
        <f>IF(K123="","",K123*IFERROR(VLOOKUP($A123&amp;"|Apr",Lists!$J:$L,2,FALSE),0)*IFERROR(VLOOKUP($A123&amp;"|Apr",Lists!$J:$L,3,FALSE),0))</f>
        <v/>
      </c>
      <c r="X123" s="16">
        <f>IF(L123="","",L123*IFERROR(VLOOKUP($A123&amp;"|May",Lists!$J:$L,2,FALSE),0)*IFERROR(VLOOKUP($A123&amp;"|May",Lists!$J:$L,3,FALSE),0))</f>
        <v/>
      </c>
      <c r="Y123" s="16">
        <f>IF(M123="","",M123*IFERROR(VLOOKUP($A123&amp;"|Jun",Lists!$J:$L,2,FALSE),0)*IFERROR(VLOOKUP($A123&amp;"|Jun",Lists!$J:$L,3,FALSE),0))</f>
        <v/>
      </c>
      <c r="Z123" s="16">
        <f>IF(N123="","",N123*IFERROR(VLOOKUP($A123&amp;"|Jul",Lists!$J:$L,2,FALSE),0)*IFERROR(VLOOKUP($A123&amp;"|Jul",Lists!$J:$L,3,FALSE),0))</f>
        <v/>
      </c>
      <c r="AA123" s="16">
        <f>IF(O123="","",O123*IFERROR(VLOOKUP($A123&amp;"|Aug",Lists!$J:$L,2,FALSE),0)*IFERROR(VLOOKUP($A123&amp;"|Aug",Lists!$J:$L,3,FALSE),0))</f>
        <v/>
      </c>
      <c r="AB123" s="16">
        <f>IF(P123="","",P123*IFERROR(VLOOKUP($A123&amp;"|Sep",Lists!$J:$L,2,FALSE),0)*IFERROR(VLOOKUP($A123&amp;"|Sep",Lists!$J:$L,3,FALSE),0))</f>
        <v/>
      </c>
      <c r="AC123" s="16">
        <f>IF(Q123="","",Q123*IFERROR(VLOOKUP($A123&amp;"|Oct",Lists!$J:$L,2,FALSE),0)*IFERROR(VLOOKUP($A123&amp;"|Oct",Lists!$J:$L,3,FALSE),0))</f>
        <v/>
      </c>
      <c r="AD123" s="16">
        <f>IF(R123="","",R123*IFERROR(VLOOKUP($A123&amp;"|Nov",Lists!$J:$L,2,FALSE),0)*IFERROR(VLOOKUP($A123&amp;"|Nov",Lists!$J:$L,3,FALSE),0))</f>
        <v/>
      </c>
      <c r="AE123" s="16">
        <f>IF(S123="","",S123*IFERROR(VLOOKUP($A123&amp;"|Dec",Lists!$J:$L,2,FALSE),0)*IFERROR(VLOOKUP($A123&amp;"|Dec",Lists!$J:$L,3,FALSE),0))</f>
        <v/>
      </c>
    </row>
    <row r="124">
      <c r="T124" s="19">
        <f>IF($A124="","",VLOOKUP($A124,DevRateTable,3,FALSE))</f>
        <v/>
      </c>
      <c r="U124" s="16">
        <f>IF(I124="","",I124*IFERROR(VLOOKUP($A124&amp;"|Feb",Lists!$J:$L,2,FALSE),0)*IFERROR(VLOOKUP($A124&amp;"|Feb",Lists!$J:$L,3,FALSE),0))</f>
        <v/>
      </c>
      <c r="V124" s="16">
        <f>IF(J124="","",J124*IFERROR(VLOOKUP($A124&amp;"|Mar",Lists!$J:$L,2,FALSE),0)*IFERROR(VLOOKUP($A124&amp;"|Mar",Lists!$J:$L,3,FALSE),0))</f>
        <v/>
      </c>
      <c r="W124" s="16">
        <f>IF(K124="","",K124*IFERROR(VLOOKUP($A124&amp;"|Apr",Lists!$J:$L,2,FALSE),0)*IFERROR(VLOOKUP($A124&amp;"|Apr",Lists!$J:$L,3,FALSE),0))</f>
        <v/>
      </c>
      <c r="X124" s="16">
        <f>IF(L124="","",L124*IFERROR(VLOOKUP($A124&amp;"|May",Lists!$J:$L,2,FALSE),0)*IFERROR(VLOOKUP($A124&amp;"|May",Lists!$J:$L,3,FALSE),0))</f>
        <v/>
      </c>
      <c r="Y124" s="16">
        <f>IF(M124="","",M124*IFERROR(VLOOKUP($A124&amp;"|Jun",Lists!$J:$L,2,FALSE),0)*IFERROR(VLOOKUP($A124&amp;"|Jun",Lists!$J:$L,3,FALSE),0))</f>
        <v/>
      </c>
      <c r="Z124" s="16">
        <f>IF(N124="","",N124*IFERROR(VLOOKUP($A124&amp;"|Jul",Lists!$J:$L,2,FALSE),0)*IFERROR(VLOOKUP($A124&amp;"|Jul",Lists!$J:$L,3,FALSE),0))</f>
        <v/>
      </c>
      <c r="AA124" s="16">
        <f>IF(O124="","",O124*IFERROR(VLOOKUP($A124&amp;"|Aug",Lists!$J:$L,2,FALSE),0)*IFERROR(VLOOKUP($A124&amp;"|Aug",Lists!$J:$L,3,FALSE),0))</f>
        <v/>
      </c>
      <c r="AB124" s="16">
        <f>IF(P124="","",P124*IFERROR(VLOOKUP($A124&amp;"|Sep",Lists!$J:$L,2,FALSE),0)*IFERROR(VLOOKUP($A124&amp;"|Sep",Lists!$J:$L,3,FALSE),0))</f>
        <v/>
      </c>
      <c r="AC124" s="16">
        <f>IF(Q124="","",Q124*IFERROR(VLOOKUP($A124&amp;"|Oct",Lists!$J:$L,2,FALSE),0)*IFERROR(VLOOKUP($A124&amp;"|Oct",Lists!$J:$L,3,FALSE),0))</f>
        <v/>
      </c>
      <c r="AD124" s="16">
        <f>IF(R124="","",R124*IFERROR(VLOOKUP($A124&amp;"|Nov",Lists!$J:$L,2,FALSE),0)*IFERROR(VLOOKUP($A124&amp;"|Nov",Lists!$J:$L,3,FALSE),0))</f>
        <v/>
      </c>
      <c r="AE124" s="16">
        <f>IF(S124="","",S124*IFERROR(VLOOKUP($A124&amp;"|Dec",Lists!$J:$L,2,FALSE),0)*IFERROR(VLOOKUP($A124&amp;"|Dec",Lists!$J:$L,3,FALSE),0))</f>
        <v/>
      </c>
    </row>
    <row r="125">
      <c r="T125" s="19">
        <f>IF($A125="","",VLOOKUP($A125,DevRateTable,3,FALSE))</f>
        <v/>
      </c>
      <c r="U125" s="16">
        <f>IF(I125="","",I125*IFERROR(VLOOKUP($A125&amp;"|Feb",Lists!$J:$L,2,FALSE),0)*IFERROR(VLOOKUP($A125&amp;"|Feb",Lists!$J:$L,3,FALSE),0))</f>
        <v/>
      </c>
      <c r="V125" s="16">
        <f>IF(J125="","",J125*IFERROR(VLOOKUP($A125&amp;"|Mar",Lists!$J:$L,2,FALSE),0)*IFERROR(VLOOKUP($A125&amp;"|Mar",Lists!$J:$L,3,FALSE),0))</f>
        <v/>
      </c>
      <c r="W125" s="16">
        <f>IF(K125="","",K125*IFERROR(VLOOKUP($A125&amp;"|Apr",Lists!$J:$L,2,FALSE),0)*IFERROR(VLOOKUP($A125&amp;"|Apr",Lists!$J:$L,3,FALSE),0))</f>
        <v/>
      </c>
      <c r="X125" s="16">
        <f>IF(L125="","",L125*IFERROR(VLOOKUP($A125&amp;"|May",Lists!$J:$L,2,FALSE),0)*IFERROR(VLOOKUP($A125&amp;"|May",Lists!$J:$L,3,FALSE),0))</f>
        <v/>
      </c>
      <c r="Y125" s="16">
        <f>IF(M125="","",M125*IFERROR(VLOOKUP($A125&amp;"|Jun",Lists!$J:$L,2,FALSE),0)*IFERROR(VLOOKUP($A125&amp;"|Jun",Lists!$J:$L,3,FALSE),0))</f>
        <v/>
      </c>
      <c r="Z125" s="16">
        <f>IF(N125="","",N125*IFERROR(VLOOKUP($A125&amp;"|Jul",Lists!$J:$L,2,FALSE),0)*IFERROR(VLOOKUP($A125&amp;"|Jul",Lists!$J:$L,3,FALSE),0))</f>
        <v/>
      </c>
      <c r="AA125" s="16">
        <f>IF(O125="","",O125*IFERROR(VLOOKUP($A125&amp;"|Aug",Lists!$J:$L,2,FALSE),0)*IFERROR(VLOOKUP($A125&amp;"|Aug",Lists!$J:$L,3,FALSE),0))</f>
        <v/>
      </c>
      <c r="AB125" s="16">
        <f>IF(P125="","",P125*IFERROR(VLOOKUP($A125&amp;"|Sep",Lists!$J:$L,2,FALSE),0)*IFERROR(VLOOKUP($A125&amp;"|Sep",Lists!$J:$L,3,FALSE),0))</f>
        <v/>
      </c>
      <c r="AC125" s="16">
        <f>IF(Q125="","",Q125*IFERROR(VLOOKUP($A125&amp;"|Oct",Lists!$J:$L,2,FALSE),0)*IFERROR(VLOOKUP($A125&amp;"|Oct",Lists!$J:$L,3,FALSE),0))</f>
        <v/>
      </c>
      <c r="AD125" s="16">
        <f>IF(R125="","",R125*IFERROR(VLOOKUP($A125&amp;"|Nov",Lists!$J:$L,2,FALSE),0)*IFERROR(VLOOKUP($A125&amp;"|Nov",Lists!$J:$L,3,FALSE),0))</f>
        <v/>
      </c>
      <c r="AE125" s="16">
        <f>IF(S125="","",S125*IFERROR(VLOOKUP($A125&amp;"|Dec",Lists!$J:$L,2,FALSE),0)*IFERROR(VLOOKUP($A125&amp;"|Dec",Lists!$J:$L,3,FALSE),0))</f>
        <v/>
      </c>
    </row>
    <row r="126">
      <c r="T126" s="19">
        <f>IF($A126="","",VLOOKUP($A126,DevRateTable,3,FALSE))</f>
        <v/>
      </c>
      <c r="U126" s="16">
        <f>IF(I126="","",I126*IFERROR(VLOOKUP($A126&amp;"|Feb",Lists!$J:$L,2,FALSE),0)*IFERROR(VLOOKUP($A126&amp;"|Feb",Lists!$J:$L,3,FALSE),0))</f>
        <v/>
      </c>
      <c r="V126" s="16">
        <f>IF(J126="","",J126*IFERROR(VLOOKUP($A126&amp;"|Mar",Lists!$J:$L,2,FALSE),0)*IFERROR(VLOOKUP($A126&amp;"|Mar",Lists!$J:$L,3,FALSE),0))</f>
        <v/>
      </c>
      <c r="W126" s="16">
        <f>IF(K126="","",K126*IFERROR(VLOOKUP($A126&amp;"|Apr",Lists!$J:$L,2,FALSE),0)*IFERROR(VLOOKUP($A126&amp;"|Apr",Lists!$J:$L,3,FALSE),0))</f>
        <v/>
      </c>
      <c r="X126" s="16">
        <f>IF(L126="","",L126*IFERROR(VLOOKUP($A126&amp;"|May",Lists!$J:$L,2,FALSE),0)*IFERROR(VLOOKUP($A126&amp;"|May",Lists!$J:$L,3,FALSE),0))</f>
        <v/>
      </c>
      <c r="Y126" s="16">
        <f>IF(M126="","",M126*IFERROR(VLOOKUP($A126&amp;"|Jun",Lists!$J:$L,2,FALSE),0)*IFERROR(VLOOKUP($A126&amp;"|Jun",Lists!$J:$L,3,FALSE),0))</f>
        <v/>
      </c>
      <c r="Z126" s="16">
        <f>IF(N126="","",N126*IFERROR(VLOOKUP($A126&amp;"|Jul",Lists!$J:$L,2,FALSE),0)*IFERROR(VLOOKUP($A126&amp;"|Jul",Lists!$J:$L,3,FALSE),0))</f>
        <v/>
      </c>
      <c r="AA126" s="16">
        <f>IF(O126="","",O126*IFERROR(VLOOKUP($A126&amp;"|Aug",Lists!$J:$L,2,FALSE),0)*IFERROR(VLOOKUP($A126&amp;"|Aug",Lists!$J:$L,3,FALSE),0))</f>
        <v/>
      </c>
      <c r="AB126" s="16">
        <f>IF(P126="","",P126*IFERROR(VLOOKUP($A126&amp;"|Sep",Lists!$J:$L,2,FALSE),0)*IFERROR(VLOOKUP($A126&amp;"|Sep",Lists!$J:$L,3,FALSE),0))</f>
        <v/>
      </c>
      <c r="AC126" s="16">
        <f>IF(Q126="","",Q126*IFERROR(VLOOKUP($A126&amp;"|Oct",Lists!$J:$L,2,FALSE),0)*IFERROR(VLOOKUP($A126&amp;"|Oct",Lists!$J:$L,3,FALSE),0))</f>
        <v/>
      </c>
      <c r="AD126" s="16">
        <f>IF(R126="","",R126*IFERROR(VLOOKUP($A126&amp;"|Nov",Lists!$J:$L,2,FALSE),0)*IFERROR(VLOOKUP($A126&amp;"|Nov",Lists!$J:$L,3,FALSE),0))</f>
        <v/>
      </c>
      <c r="AE126" s="16">
        <f>IF(S126="","",S126*IFERROR(VLOOKUP($A126&amp;"|Dec",Lists!$J:$L,2,FALSE),0)*IFERROR(VLOOKUP($A126&amp;"|Dec",Lists!$J:$L,3,FALSE),0))</f>
        <v/>
      </c>
    </row>
    <row r="127">
      <c r="T127" s="19">
        <f>IF($A127="","",VLOOKUP($A127,DevRateTable,3,FALSE))</f>
        <v/>
      </c>
      <c r="U127" s="16">
        <f>IF(I127="","",I127*IFERROR(VLOOKUP($A127&amp;"|Feb",Lists!$J:$L,2,FALSE),0)*IFERROR(VLOOKUP($A127&amp;"|Feb",Lists!$J:$L,3,FALSE),0))</f>
        <v/>
      </c>
      <c r="V127" s="16">
        <f>IF(J127="","",J127*IFERROR(VLOOKUP($A127&amp;"|Mar",Lists!$J:$L,2,FALSE),0)*IFERROR(VLOOKUP($A127&amp;"|Mar",Lists!$J:$L,3,FALSE),0))</f>
        <v/>
      </c>
      <c r="W127" s="16">
        <f>IF(K127="","",K127*IFERROR(VLOOKUP($A127&amp;"|Apr",Lists!$J:$L,2,FALSE),0)*IFERROR(VLOOKUP($A127&amp;"|Apr",Lists!$J:$L,3,FALSE),0))</f>
        <v/>
      </c>
      <c r="X127" s="16">
        <f>IF(L127="","",L127*IFERROR(VLOOKUP($A127&amp;"|May",Lists!$J:$L,2,FALSE),0)*IFERROR(VLOOKUP($A127&amp;"|May",Lists!$J:$L,3,FALSE),0))</f>
        <v/>
      </c>
      <c r="Y127" s="16">
        <f>IF(M127="","",M127*IFERROR(VLOOKUP($A127&amp;"|Jun",Lists!$J:$L,2,FALSE),0)*IFERROR(VLOOKUP($A127&amp;"|Jun",Lists!$J:$L,3,FALSE),0))</f>
        <v/>
      </c>
      <c r="Z127" s="16">
        <f>IF(N127="","",N127*IFERROR(VLOOKUP($A127&amp;"|Jul",Lists!$J:$L,2,FALSE),0)*IFERROR(VLOOKUP($A127&amp;"|Jul",Lists!$J:$L,3,FALSE),0))</f>
        <v/>
      </c>
      <c r="AA127" s="16">
        <f>IF(O127="","",O127*IFERROR(VLOOKUP($A127&amp;"|Aug",Lists!$J:$L,2,FALSE),0)*IFERROR(VLOOKUP($A127&amp;"|Aug",Lists!$J:$L,3,FALSE),0))</f>
        <v/>
      </c>
      <c r="AB127" s="16">
        <f>IF(P127="","",P127*IFERROR(VLOOKUP($A127&amp;"|Sep",Lists!$J:$L,2,FALSE),0)*IFERROR(VLOOKUP($A127&amp;"|Sep",Lists!$J:$L,3,FALSE),0))</f>
        <v/>
      </c>
      <c r="AC127" s="16">
        <f>IF(Q127="","",Q127*IFERROR(VLOOKUP($A127&amp;"|Oct",Lists!$J:$L,2,FALSE),0)*IFERROR(VLOOKUP($A127&amp;"|Oct",Lists!$J:$L,3,FALSE),0))</f>
        <v/>
      </c>
      <c r="AD127" s="16">
        <f>IF(R127="","",R127*IFERROR(VLOOKUP($A127&amp;"|Nov",Lists!$J:$L,2,FALSE),0)*IFERROR(VLOOKUP($A127&amp;"|Nov",Lists!$J:$L,3,FALSE),0))</f>
        <v/>
      </c>
      <c r="AE127" s="16">
        <f>IF(S127="","",S127*IFERROR(VLOOKUP($A127&amp;"|Dec",Lists!$J:$L,2,FALSE),0)*IFERROR(VLOOKUP($A127&amp;"|Dec",Lists!$J:$L,3,FALSE),0))</f>
        <v/>
      </c>
    </row>
    <row r="128">
      <c r="T128" s="19">
        <f>IF($A128="","",VLOOKUP($A128,DevRateTable,3,FALSE))</f>
        <v/>
      </c>
      <c r="U128" s="16">
        <f>IF(I128="","",I128*IFERROR(VLOOKUP($A128&amp;"|Feb",Lists!$J:$L,2,FALSE),0)*IFERROR(VLOOKUP($A128&amp;"|Feb",Lists!$J:$L,3,FALSE),0))</f>
        <v/>
      </c>
      <c r="V128" s="16">
        <f>IF(J128="","",J128*IFERROR(VLOOKUP($A128&amp;"|Mar",Lists!$J:$L,2,FALSE),0)*IFERROR(VLOOKUP($A128&amp;"|Mar",Lists!$J:$L,3,FALSE),0))</f>
        <v/>
      </c>
      <c r="W128" s="16">
        <f>IF(K128="","",K128*IFERROR(VLOOKUP($A128&amp;"|Apr",Lists!$J:$L,2,FALSE),0)*IFERROR(VLOOKUP($A128&amp;"|Apr",Lists!$J:$L,3,FALSE),0))</f>
        <v/>
      </c>
      <c r="X128" s="16">
        <f>IF(L128="","",L128*IFERROR(VLOOKUP($A128&amp;"|May",Lists!$J:$L,2,FALSE),0)*IFERROR(VLOOKUP($A128&amp;"|May",Lists!$J:$L,3,FALSE),0))</f>
        <v/>
      </c>
      <c r="Y128" s="16">
        <f>IF(M128="","",M128*IFERROR(VLOOKUP($A128&amp;"|Jun",Lists!$J:$L,2,FALSE),0)*IFERROR(VLOOKUP($A128&amp;"|Jun",Lists!$J:$L,3,FALSE),0))</f>
        <v/>
      </c>
      <c r="Z128" s="16">
        <f>IF(N128="","",N128*IFERROR(VLOOKUP($A128&amp;"|Jul",Lists!$J:$L,2,FALSE),0)*IFERROR(VLOOKUP($A128&amp;"|Jul",Lists!$J:$L,3,FALSE),0))</f>
        <v/>
      </c>
      <c r="AA128" s="16">
        <f>IF(O128="","",O128*IFERROR(VLOOKUP($A128&amp;"|Aug",Lists!$J:$L,2,FALSE),0)*IFERROR(VLOOKUP($A128&amp;"|Aug",Lists!$J:$L,3,FALSE),0))</f>
        <v/>
      </c>
      <c r="AB128" s="16">
        <f>IF(P128="","",P128*IFERROR(VLOOKUP($A128&amp;"|Sep",Lists!$J:$L,2,FALSE),0)*IFERROR(VLOOKUP($A128&amp;"|Sep",Lists!$J:$L,3,FALSE),0))</f>
        <v/>
      </c>
      <c r="AC128" s="16">
        <f>IF(Q128="","",Q128*IFERROR(VLOOKUP($A128&amp;"|Oct",Lists!$J:$L,2,FALSE),0)*IFERROR(VLOOKUP($A128&amp;"|Oct",Lists!$J:$L,3,FALSE),0))</f>
        <v/>
      </c>
      <c r="AD128" s="16">
        <f>IF(R128="","",R128*IFERROR(VLOOKUP($A128&amp;"|Nov",Lists!$J:$L,2,FALSE),0)*IFERROR(VLOOKUP($A128&amp;"|Nov",Lists!$J:$L,3,FALSE),0))</f>
        <v/>
      </c>
      <c r="AE128" s="16">
        <f>IF(S128="","",S128*IFERROR(VLOOKUP($A128&amp;"|Dec",Lists!$J:$L,2,FALSE),0)*IFERROR(VLOOKUP($A128&amp;"|Dec",Lists!$J:$L,3,FALSE),0))</f>
        <v/>
      </c>
    </row>
    <row r="129">
      <c r="T129" s="19">
        <f>IF($A129="","",VLOOKUP($A129,DevRateTable,3,FALSE))</f>
        <v/>
      </c>
      <c r="U129" s="16">
        <f>IF(I129="","",I129*IFERROR(VLOOKUP($A129&amp;"|Feb",Lists!$J:$L,2,FALSE),0)*IFERROR(VLOOKUP($A129&amp;"|Feb",Lists!$J:$L,3,FALSE),0))</f>
        <v/>
      </c>
      <c r="V129" s="16">
        <f>IF(J129="","",J129*IFERROR(VLOOKUP($A129&amp;"|Mar",Lists!$J:$L,2,FALSE),0)*IFERROR(VLOOKUP($A129&amp;"|Mar",Lists!$J:$L,3,FALSE),0))</f>
        <v/>
      </c>
      <c r="W129" s="16">
        <f>IF(K129="","",K129*IFERROR(VLOOKUP($A129&amp;"|Apr",Lists!$J:$L,2,FALSE),0)*IFERROR(VLOOKUP($A129&amp;"|Apr",Lists!$J:$L,3,FALSE),0))</f>
        <v/>
      </c>
      <c r="X129" s="16">
        <f>IF(L129="","",L129*IFERROR(VLOOKUP($A129&amp;"|May",Lists!$J:$L,2,FALSE),0)*IFERROR(VLOOKUP($A129&amp;"|May",Lists!$J:$L,3,FALSE),0))</f>
        <v/>
      </c>
      <c r="Y129" s="16">
        <f>IF(M129="","",M129*IFERROR(VLOOKUP($A129&amp;"|Jun",Lists!$J:$L,2,FALSE),0)*IFERROR(VLOOKUP($A129&amp;"|Jun",Lists!$J:$L,3,FALSE),0))</f>
        <v/>
      </c>
      <c r="Z129" s="16">
        <f>IF(N129="","",N129*IFERROR(VLOOKUP($A129&amp;"|Jul",Lists!$J:$L,2,FALSE),0)*IFERROR(VLOOKUP($A129&amp;"|Jul",Lists!$J:$L,3,FALSE),0))</f>
        <v/>
      </c>
      <c r="AA129" s="16">
        <f>IF(O129="","",O129*IFERROR(VLOOKUP($A129&amp;"|Aug",Lists!$J:$L,2,FALSE),0)*IFERROR(VLOOKUP($A129&amp;"|Aug",Lists!$J:$L,3,FALSE),0))</f>
        <v/>
      </c>
      <c r="AB129" s="16">
        <f>IF(P129="","",P129*IFERROR(VLOOKUP($A129&amp;"|Sep",Lists!$J:$L,2,FALSE),0)*IFERROR(VLOOKUP($A129&amp;"|Sep",Lists!$J:$L,3,FALSE),0))</f>
        <v/>
      </c>
      <c r="AC129" s="16">
        <f>IF(Q129="","",Q129*IFERROR(VLOOKUP($A129&amp;"|Oct",Lists!$J:$L,2,FALSE),0)*IFERROR(VLOOKUP($A129&amp;"|Oct",Lists!$J:$L,3,FALSE),0))</f>
        <v/>
      </c>
      <c r="AD129" s="16">
        <f>IF(R129="","",R129*IFERROR(VLOOKUP($A129&amp;"|Nov",Lists!$J:$L,2,FALSE),0)*IFERROR(VLOOKUP($A129&amp;"|Nov",Lists!$J:$L,3,FALSE),0))</f>
        <v/>
      </c>
      <c r="AE129" s="16">
        <f>IF(S129="","",S129*IFERROR(VLOOKUP($A129&amp;"|Dec",Lists!$J:$L,2,FALSE),0)*IFERROR(VLOOKUP($A129&amp;"|Dec",Lists!$J:$L,3,FALSE),0))</f>
        <v/>
      </c>
    </row>
    <row r="130">
      <c r="T130" s="19">
        <f>IF($A130="","",VLOOKUP($A130,DevRateTable,3,FALSE))</f>
        <v/>
      </c>
      <c r="U130" s="16">
        <f>IF(I130="","",I130*IFERROR(VLOOKUP($A130&amp;"|Feb",Lists!$J:$L,2,FALSE),0)*IFERROR(VLOOKUP($A130&amp;"|Feb",Lists!$J:$L,3,FALSE),0))</f>
        <v/>
      </c>
      <c r="V130" s="16">
        <f>IF(J130="","",J130*IFERROR(VLOOKUP($A130&amp;"|Mar",Lists!$J:$L,2,FALSE),0)*IFERROR(VLOOKUP($A130&amp;"|Mar",Lists!$J:$L,3,FALSE),0))</f>
        <v/>
      </c>
      <c r="W130" s="16">
        <f>IF(K130="","",K130*IFERROR(VLOOKUP($A130&amp;"|Apr",Lists!$J:$L,2,FALSE),0)*IFERROR(VLOOKUP($A130&amp;"|Apr",Lists!$J:$L,3,FALSE),0))</f>
        <v/>
      </c>
      <c r="X130" s="16">
        <f>IF(L130="","",L130*IFERROR(VLOOKUP($A130&amp;"|May",Lists!$J:$L,2,FALSE),0)*IFERROR(VLOOKUP($A130&amp;"|May",Lists!$J:$L,3,FALSE),0))</f>
        <v/>
      </c>
      <c r="Y130" s="16">
        <f>IF(M130="","",M130*IFERROR(VLOOKUP($A130&amp;"|Jun",Lists!$J:$L,2,FALSE),0)*IFERROR(VLOOKUP($A130&amp;"|Jun",Lists!$J:$L,3,FALSE),0))</f>
        <v/>
      </c>
      <c r="Z130" s="16">
        <f>IF(N130="","",N130*IFERROR(VLOOKUP($A130&amp;"|Jul",Lists!$J:$L,2,FALSE),0)*IFERROR(VLOOKUP($A130&amp;"|Jul",Lists!$J:$L,3,FALSE),0))</f>
        <v/>
      </c>
      <c r="AA130" s="16">
        <f>IF(O130="","",O130*IFERROR(VLOOKUP($A130&amp;"|Aug",Lists!$J:$L,2,FALSE),0)*IFERROR(VLOOKUP($A130&amp;"|Aug",Lists!$J:$L,3,FALSE),0))</f>
        <v/>
      </c>
      <c r="AB130" s="16">
        <f>IF(P130="","",P130*IFERROR(VLOOKUP($A130&amp;"|Sep",Lists!$J:$L,2,FALSE),0)*IFERROR(VLOOKUP($A130&amp;"|Sep",Lists!$J:$L,3,FALSE),0))</f>
        <v/>
      </c>
      <c r="AC130" s="16">
        <f>IF(Q130="","",Q130*IFERROR(VLOOKUP($A130&amp;"|Oct",Lists!$J:$L,2,FALSE),0)*IFERROR(VLOOKUP($A130&amp;"|Oct",Lists!$J:$L,3,FALSE),0))</f>
        <v/>
      </c>
      <c r="AD130" s="16">
        <f>IF(R130="","",R130*IFERROR(VLOOKUP($A130&amp;"|Nov",Lists!$J:$L,2,FALSE),0)*IFERROR(VLOOKUP($A130&amp;"|Nov",Lists!$J:$L,3,FALSE),0))</f>
        <v/>
      </c>
      <c r="AE130" s="16">
        <f>IF(S130="","",S130*IFERROR(VLOOKUP($A130&amp;"|Dec",Lists!$J:$L,2,FALSE),0)*IFERROR(VLOOKUP($A130&amp;"|Dec",Lists!$J:$L,3,FALSE),0))</f>
        <v/>
      </c>
    </row>
    <row r="131">
      <c r="T131" s="19">
        <f>IF($A131="","",VLOOKUP($A131,DevRateTable,3,FALSE))</f>
        <v/>
      </c>
      <c r="U131" s="16">
        <f>IF(I131="","",I131*IFERROR(VLOOKUP($A131&amp;"|Feb",Lists!$J:$L,2,FALSE),0)*IFERROR(VLOOKUP($A131&amp;"|Feb",Lists!$J:$L,3,FALSE),0))</f>
        <v/>
      </c>
      <c r="V131" s="16">
        <f>IF(J131="","",J131*IFERROR(VLOOKUP($A131&amp;"|Mar",Lists!$J:$L,2,FALSE),0)*IFERROR(VLOOKUP($A131&amp;"|Mar",Lists!$J:$L,3,FALSE),0))</f>
        <v/>
      </c>
      <c r="W131" s="16">
        <f>IF(K131="","",K131*IFERROR(VLOOKUP($A131&amp;"|Apr",Lists!$J:$L,2,FALSE),0)*IFERROR(VLOOKUP($A131&amp;"|Apr",Lists!$J:$L,3,FALSE),0))</f>
        <v/>
      </c>
      <c r="X131" s="16">
        <f>IF(L131="","",L131*IFERROR(VLOOKUP($A131&amp;"|May",Lists!$J:$L,2,FALSE),0)*IFERROR(VLOOKUP($A131&amp;"|May",Lists!$J:$L,3,FALSE),0))</f>
        <v/>
      </c>
      <c r="Y131" s="16">
        <f>IF(M131="","",M131*IFERROR(VLOOKUP($A131&amp;"|Jun",Lists!$J:$L,2,FALSE),0)*IFERROR(VLOOKUP($A131&amp;"|Jun",Lists!$J:$L,3,FALSE),0))</f>
        <v/>
      </c>
      <c r="Z131" s="16">
        <f>IF(N131="","",N131*IFERROR(VLOOKUP($A131&amp;"|Jul",Lists!$J:$L,2,FALSE),0)*IFERROR(VLOOKUP($A131&amp;"|Jul",Lists!$J:$L,3,FALSE),0))</f>
        <v/>
      </c>
      <c r="AA131" s="16">
        <f>IF(O131="","",O131*IFERROR(VLOOKUP($A131&amp;"|Aug",Lists!$J:$L,2,FALSE),0)*IFERROR(VLOOKUP($A131&amp;"|Aug",Lists!$J:$L,3,FALSE),0))</f>
        <v/>
      </c>
      <c r="AB131" s="16">
        <f>IF(P131="","",P131*IFERROR(VLOOKUP($A131&amp;"|Sep",Lists!$J:$L,2,FALSE),0)*IFERROR(VLOOKUP($A131&amp;"|Sep",Lists!$J:$L,3,FALSE),0))</f>
        <v/>
      </c>
      <c r="AC131" s="16">
        <f>IF(Q131="","",Q131*IFERROR(VLOOKUP($A131&amp;"|Oct",Lists!$J:$L,2,FALSE),0)*IFERROR(VLOOKUP($A131&amp;"|Oct",Lists!$J:$L,3,FALSE),0))</f>
        <v/>
      </c>
      <c r="AD131" s="16">
        <f>IF(R131="","",R131*IFERROR(VLOOKUP($A131&amp;"|Nov",Lists!$J:$L,2,FALSE),0)*IFERROR(VLOOKUP($A131&amp;"|Nov",Lists!$J:$L,3,FALSE),0))</f>
        <v/>
      </c>
      <c r="AE131" s="16">
        <f>IF(S131="","",S131*IFERROR(VLOOKUP($A131&amp;"|Dec",Lists!$J:$L,2,FALSE),0)*IFERROR(VLOOKUP($A131&amp;"|Dec",Lists!$J:$L,3,FALSE),0))</f>
        <v/>
      </c>
    </row>
    <row r="132">
      <c r="T132" s="19">
        <f>IF($A132="","",VLOOKUP($A132,DevRateTable,3,FALSE))</f>
        <v/>
      </c>
      <c r="U132" s="16">
        <f>IF(I132="","",I132*IFERROR(VLOOKUP($A132&amp;"|Feb",Lists!$J:$L,2,FALSE),0)*IFERROR(VLOOKUP($A132&amp;"|Feb",Lists!$J:$L,3,FALSE),0))</f>
        <v/>
      </c>
      <c r="V132" s="16">
        <f>IF(J132="","",J132*IFERROR(VLOOKUP($A132&amp;"|Mar",Lists!$J:$L,2,FALSE),0)*IFERROR(VLOOKUP($A132&amp;"|Mar",Lists!$J:$L,3,FALSE),0))</f>
        <v/>
      </c>
      <c r="W132" s="16">
        <f>IF(K132="","",K132*IFERROR(VLOOKUP($A132&amp;"|Apr",Lists!$J:$L,2,FALSE),0)*IFERROR(VLOOKUP($A132&amp;"|Apr",Lists!$J:$L,3,FALSE),0))</f>
        <v/>
      </c>
      <c r="X132" s="16">
        <f>IF(L132="","",L132*IFERROR(VLOOKUP($A132&amp;"|May",Lists!$J:$L,2,FALSE),0)*IFERROR(VLOOKUP($A132&amp;"|May",Lists!$J:$L,3,FALSE),0))</f>
        <v/>
      </c>
      <c r="Y132" s="16">
        <f>IF(M132="","",M132*IFERROR(VLOOKUP($A132&amp;"|Jun",Lists!$J:$L,2,FALSE),0)*IFERROR(VLOOKUP($A132&amp;"|Jun",Lists!$J:$L,3,FALSE),0))</f>
        <v/>
      </c>
      <c r="Z132" s="16">
        <f>IF(N132="","",N132*IFERROR(VLOOKUP($A132&amp;"|Jul",Lists!$J:$L,2,FALSE),0)*IFERROR(VLOOKUP($A132&amp;"|Jul",Lists!$J:$L,3,FALSE),0))</f>
        <v/>
      </c>
      <c r="AA132" s="16">
        <f>IF(O132="","",O132*IFERROR(VLOOKUP($A132&amp;"|Aug",Lists!$J:$L,2,FALSE),0)*IFERROR(VLOOKUP($A132&amp;"|Aug",Lists!$J:$L,3,FALSE),0))</f>
        <v/>
      </c>
      <c r="AB132" s="16">
        <f>IF(P132="","",P132*IFERROR(VLOOKUP($A132&amp;"|Sep",Lists!$J:$L,2,FALSE),0)*IFERROR(VLOOKUP($A132&amp;"|Sep",Lists!$J:$L,3,FALSE),0))</f>
        <v/>
      </c>
      <c r="AC132" s="16">
        <f>IF(Q132="","",Q132*IFERROR(VLOOKUP($A132&amp;"|Oct",Lists!$J:$L,2,FALSE),0)*IFERROR(VLOOKUP($A132&amp;"|Oct",Lists!$J:$L,3,FALSE),0))</f>
        <v/>
      </c>
      <c r="AD132" s="16">
        <f>IF(R132="","",R132*IFERROR(VLOOKUP($A132&amp;"|Nov",Lists!$J:$L,2,FALSE),0)*IFERROR(VLOOKUP($A132&amp;"|Nov",Lists!$J:$L,3,FALSE),0))</f>
        <v/>
      </c>
      <c r="AE132" s="16">
        <f>IF(S132="","",S132*IFERROR(VLOOKUP($A132&amp;"|Dec",Lists!$J:$L,2,FALSE),0)*IFERROR(VLOOKUP($A132&amp;"|Dec",Lists!$J:$L,3,FALSE),0))</f>
        <v/>
      </c>
    </row>
    <row r="133">
      <c r="T133" s="19">
        <f>IF($A133="","",VLOOKUP($A133,DevRateTable,3,FALSE))</f>
        <v/>
      </c>
      <c r="U133" s="16">
        <f>IF(I133="","",I133*IFERROR(VLOOKUP($A133&amp;"|Feb",Lists!$J:$L,2,FALSE),0)*IFERROR(VLOOKUP($A133&amp;"|Feb",Lists!$J:$L,3,FALSE),0))</f>
        <v/>
      </c>
      <c r="V133" s="16">
        <f>IF(J133="","",J133*IFERROR(VLOOKUP($A133&amp;"|Mar",Lists!$J:$L,2,FALSE),0)*IFERROR(VLOOKUP($A133&amp;"|Mar",Lists!$J:$L,3,FALSE),0))</f>
        <v/>
      </c>
      <c r="W133" s="16">
        <f>IF(K133="","",K133*IFERROR(VLOOKUP($A133&amp;"|Apr",Lists!$J:$L,2,FALSE),0)*IFERROR(VLOOKUP($A133&amp;"|Apr",Lists!$J:$L,3,FALSE),0))</f>
        <v/>
      </c>
      <c r="X133" s="16">
        <f>IF(L133="","",L133*IFERROR(VLOOKUP($A133&amp;"|May",Lists!$J:$L,2,FALSE),0)*IFERROR(VLOOKUP($A133&amp;"|May",Lists!$J:$L,3,FALSE),0))</f>
        <v/>
      </c>
      <c r="Y133" s="16">
        <f>IF(M133="","",M133*IFERROR(VLOOKUP($A133&amp;"|Jun",Lists!$J:$L,2,FALSE),0)*IFERROR(VLOOKUP($A133&amp;"|Jun",Lists!$J:$L,3,FALSE),0))</f>
        <v/>
      </c>
      <c r="Z133" s="16">
        <f>IF(N133="","",N133*IFERROR(VLOOKUP($A133&amp;"|Jul",Lists!$J:$L,2,FALSE),0)*IFERROR(VLOOKUP($A133&amp;"|Jul",Lists!$J:$L,3,FALSE),0))</f>
        <v/>
      </c>
      <c r="AA133" s="16">
        <f>IF(O133="","",O133*IFERROR(VLOOKUP($A133&amp;"|Aug",Lists!$J:$L,2,FALSE),0)*IFERROR(VLOOKUP($A133&amp;"|Aug",Lists!$J:$L,3,FALSE),0))</f>
        <v/>
      </c>
      <c r="AB133" s="16">
        <f>IF(P133="","",P133*IFERROR(VLOOKUP($A133&amp;"|Sep",Lists!$J:$L,2,FALSE),0)*IFERROR(VLOOKUP($A133&amp;"|Sep",Lists!$J:$L,3,FALSE),0))</f>
        <v/>
      </c>
      <c r="AC133" s="16">
        <f>IF(Q133="","",Q133*IFERROR(VLOOKUP($A133&amp;"|Oct",Lists!$J:$L,2,FALSE),0)*IFERROR(VLOOKUP($A133&amp;"|Oct",Lists!$J:$L,3,FALSE),0))</f>
        <v/>
      </c>
      <c r="AD133" s="16">
        <f>IF(R133="","",R133*IFERROR(VLOOKUP($A133&amp;"|Nov",Lists!$J:$L,2,FALSE),0)*IFERROR(VLOOKUP($A133&amp;"|Nov",Lists!$J:$L,3,FALSE),0))</f>
        <v/>
      </c>
      <c r="AE133" s="16">
        <f>IF(S133="","",S133*IFERROR(VLOOKUP($A133&amp;"|Dec",Lists!$J:$L,2,FALSE),0)*IFERROR(VLOOKUP($A133&amp;"|Dec",Lists!$J:$L,3,FALSE),0))</f>
        <v/>
      </c>
    </row>
    <row r="134">
      <c r="T134" s="19">
        <f>IF($A134="","",VLOOKUP($A134,DevRateTable,3,FALSE))</f>
        <v/>
      </c>
      <c r="U134" s="16">
        <f>IF(I134="","",I134*IFERROR(VLOOKUP($A134&amp;"|Feb",Lists!$J:$L,2,FALSE),0)*IFERROR(VLOOKUP($A134&amp;"|Feb",Lists!$J:$L,3,FALSE),0))</f>
        <v/>
      </c>
      <c r="V134" s="16">
        <f>IF(J134="","",J134*IFERROR(VLOOKUP($A134&amp;"|Mar",Lists!$J:$L,2,FALSE),0)*IFERROR(VLOOKUP($A134&amp;"|Mar",Lists!$J:$L,3,FALSE),0))</f>
        <v/>
      </c>
      <c r="W134" s="16">
        <f>IF(K134="","",K134*IFERROR(VLOOKUP($A134&amp;"|Apr",Lists!$J:$L,2,FALSE),0)*IFERROR(VLOOKUP($A134&amp;"|Apr",Lists!$J:$L,3,FALSE),0))</f>
        <v/>
      </c>
      <c r="X134" s="16">
        <f>IF(L134="","",L134*IFERROR(VLOOKUP($A134&amp;"|May",Lists!$J:$L,2,FALSE),0)*IFERROR(VLOOKUP($A134&amp;"|May",Lists!$J:$L,3,FALSE),0))</f>
        <v/>
      </c>
      <c r="Y134" s="16">
        <f>IF(M134="","",M134*IFERROR(VLOOKUP($A134&amp;"|Jun",Lists!$J:$L,2,FALSE),0)*IFERROR(VLOOKUP($A134&amp;"|Jun",Lists!$J:$L,3,FALSE),0))</f>
        <v/>
      </c>
      <c r="Z134" s="16">
        <f>IF(N134="","",N134*IFERROR(VLOOKUP($A134&amp;"|Jul",Lists!$J:$L,2,FALSE),0)*IFERROR(VLOOKUP($A134&amp;"|Jul",Lists!$J:$L,3,FALSE),0))</f>
        <v/>
      </c>
      <c r="AA134" s="16">
        <f>IF(O134="","",O134*IFERROR(VLOOKUP($A134&amp;"|Aug",Lists!$J:$L,2,FALSE),0)*IFERROR(VLOOKUP($A134&amp;"|Aug",Lists!$J:$L,3,FALSE),0))</f>
        <v/>
      </c>
      <c r="AB134" s="16">
        <f>IF(P134="","",P134*IFERROR(VLOOKUP($A134&amp;"|Sep",Lists!$J:$L,2,FALSE),0)*IFERROR(VLOOKUP($A134&amp;"|Sep",Lists!$J:$L,3,FALSE),0))</f>
        <v/>
      </c>
      <c r="AC134" s="16">
        <f>IF(Q134="","",Q134*IFERROR(VLOOKUP($A134&amp;"|Oct",Lists!$J:$L,2,FALSE),0)*IFERROR(VLOOKUP($A134&amp;"|Oct",Lists!$J:$L,3,FALSE),0))</f>
        <v/>
      </c>
      <c r="AD134" s="16">
        <f>IF(R134="","",R134*IFERROR(VLOOKUP($A134&amp;"|Nov",Lists!$J:$L,2,FALSE),0)*IFERROR(VLOOKUP($A134&amp;"|Nov",Lists!$J:$L,3,FALSE),0))</f>
        <v/>
      </c>
      <c r="AE134" s="16">
        <f>IF(S134="","",S134*IFERROR(VLOOKUP($A134&amp;"|Dec",Lists!$J:$L,2,FALSE),0)*IFERROR(VLOOKUP($A134&amp;"|Dec",Lists!$J:$L,3,FALSE),0))</f>
        <v/>
      </c>
    </row>
    <row r="135">
      <c r="T135" s="19">
        <f>IF($A135="","",VLOOKUP($A135,DevRateTable,3,FALSE))</f>
        <v/>
      </c>
      <c r="U135" s="16">
        <f>IF(I135="","",I135*IFERROR(VLOOKUP($A135&amp;"|Feb",Lists!$J:$L,2,FALSE),0)*IFERROR(VLOOKUP($A135&amp;"|Feb",Lists!$J:$L,3,FALSE),0))</f>
        <v/>
      </c>
      <c r="V135" s="16">
        <f>IF(J135="","",J135*IFERROR(VLOOKUP($A135&amp;"|Mar",Lists!$J:$L,2,FALSE),0)*IFERROR(VLOOKUP($A135&amp;"|Mar",Lists!$J:$L,3,FALSE),0))</f>
        <v/>
      </c>
      <c r="W135" s="16">
        <f>IF(K135="","",K135*IFERROR(VLOOKUP($A135&amp;"|Apr",Lists!$J:$L,2,FALSE),0)*IFERROR(VLOOKUP($A135&amp;"|Apr",Lists!$J:$L,3,FALSE),0))</f>
        <v/>
      </c>
      <c r="X135" s="16">
        <f>IF(L135="","",L135*IFERROR(VLOOKUP($A135&amp;"|May",Lists!$J:$L,2,FALSE),0)*IFERROR(VLOOKUP($A135&amp;"|May",Lists!$J:$L,3,FALSE),0))</f>
        <v/>
      </c>
      <c r="Y135" s="16">
        <f>IF(M135="","",M135*IFERROR(VLOOKUP($A135&amp;"|Jun",Lists!$J:$L,2,FALSE),0)*IFERROR(VLOOKUP($A135&amp;"|Jun",Lists!$J:$L,3,FALSE),0))</f>
        <v/>
      </c>
      <c r="Z135" s="16">
        <f>IF(N135="","",N135*IFERROR(VLOOKUP($A135&amp;"|Jul",Lists!$J:$L,2,FALSE),0)*IFERROR(VLOOKUP($A135&amp;"|Jul",Lists!$J:$L,3,FALSE),0))</f>
        <v/>
      </c>
      <c r="AA135" s="16">
        <f>IF(O135="","",O135*IFERROR(VLOOKUP($A135&amp;"|Aug",Lists!$J:$L,2,FALSE),0)*IFERROR(VLOOKUP($A135&amp;"|Aug",Lists!$J:$L,3,FALSE),0))</f>
        <v/>
      </c>
      <c r="AB135" s="16">
        <f>IF(P135="","",P135*IFERROR(VLOOKUP($A135&amp;"|Sep",Lists!$J:$L,2,FALSE),0)*IFERROR(VLOOKUP($A135&amp;"|Sep",Lists!$J:$L,3,FALSE),0))</f>
        <v/>
      </c>
      <c r="AC135" s="16">
        <f>IF(Q135="","",Q135*IFERROR(VLOOKUP($A135&amp;"|Oct",Lists!$J:$L,2,FALSE),0)*IFERROR(VLOOKUP($A135&amp;"|Oct",Lists!$J:$L,3,FALSE),0))</f>
        <v/>
      </c>
      <c r="AD135" s="16">
        <f>IF(R135="","",R135*IFERROR(VLOOKUP($A135&amp;"|Nov",Lists!$J:$L,2,FALSE),0)*IFERROR(VLOOKUP($A135&amp;"|Nov",Lists!$J:$L,3,FALSE),0))</f>
        <v/>
      </c>
      <c r="AE135" s="16">
        <f>IF(S135="","",S135*IFERROR(VLOOKUP($A135&amp;"|Dec",Lists!$J:$L,2,FALSE),0)*IFERROR(VLOOKUP($A135&amp;"|Dec",Lists!$J:$L,3,FALSE),0))</f>
        <v/>
      </c>
    </row>
    <row r="136">
      <c r="T136" s="19">
        <f>IF($A136="","",VLOOKUP($A136,DevRateTable,3,FALSE))</f>
        <v/>
      </c>
      <c r="U136" s="16">
        <f>IF(I136="","",I136*IFERROR(VLOOKUP($A136&amp;"|Feb",Lists!$J:$L,2,FALSE),0)*IFERROR(VLOOKUP($A136&amp;"|Feb",Lists!$J:$L,3,FALSE),0))</f>
        <v/>
      </c>
      <c r="V136" s="16">
        <f>IF(J136="","",J136*IFERROR(VLOOKUP($A136&amp;"|Mar",Lists!$J:$L,2,FALSE),0)*IFERROR(VLOOKUP($A136&amp;"|Mar",Lists!$J:$L,3,FALSE),0))</f>
        <v/>
      </c>
      <c r="W136" s="16">
        <f>IF(K136="","",K136*IFERROR(VLOOKUP($A136&amp;"|Apr",Lists!$J:$L,2,FALSE),0)*IFERROR(VLOOKUP($A136&amp;"|Apr",Lists!$J:$L,3,FALSE),0))</f>
        <v/>
      </c>
      <c r="X136" s="16">
        <f>IF(L136="","",L136*IFERROR(VLOOKUP($A136&amp;"|May",Lists!$J:$L,2,FALSE),0)*IFERROR(VLOOKUP($A136&amp;"|May",Lists!$J:$L,3,FALSE),0))</f>
        <v/>
      </c>
      <c r="Y136" s="16">
        <f>IF(M136="","",M136*IFERROR(VLOOKUP($A136&amp;"|Jun",Lists!$J:$L,2,FALSE),0)*IFERROR(VLOOKUP($A136&amp;"|Jun",Lists!$J:$L,3,FALSE),0))</f>
        <v/>
      </c>
      <c r="Z136" s="16">
        <f>IF(N136="","",N136*IFERROR(VLOOKUP($A136&amp;"|Jul",Lists!$J:$L,2,FALSE),0)*IFERROR(VLOOKUP($A136&amp;"|Jul",Lists!$J:$L,3,FALSE),0))</f>
        <v/>
      </c>
      <c r="AA136" s="16">
        <f>IF(O136="","",O136*IFERROR(VLOOKUP($A136&amp;"|Aug",Lists!$J:$L,2,FALSE),0)*IFERROR(VLOOKUP($A136&amp;"|Aug",Lists!$J:$L,3,FALSE),0))</f>
        <v/>
      </c>
      <c r="AB136" s="16">
        <f>IF(P136="","",P136*IFERROR(VLOOKUP($A136&amp;"|Sep",Lists!$J:$L,2,FALSE),0)*IFERROR(VLOOKUP($A136&amp;"|Sep",Lists!$J:$L,3,FALSE),0))</f>
        <v/>
      </c>
      <c r="AC136" s="16">
        <f>IF(Q136="","",Q136*IFERROR(VLOOKUP($A136&amp;"|Oct",Lists!$J:$L,2,FALSE),0)*IFERROR(VLOOKUP($A136&amp;"|Oct",Lists!$J:$L,3,FALSE),0))</f>
        <v/>
      </c>
      <c r="AD136" s="16">
        <f>IF(R136="","",R136*IFERROR(VLOOKUP($A136&amp;"|Nov",Lists!$J:$L,2,FALSE),0)*IFERROR(VLOOKUP($A136&amp;"|Nov",Lists!$J:$L,3,FALSE),0))</f>
        <v/>
      </c>
      <c r="AE136" s="16">
        <f>IF(S136="","",S136*IFERROR(VLOOKUP($A136&amp;"|Dec",Lists!$J:$L,2,FALSE),0)*IFERROR(VLOOKUP($A136&amp;"|Dec",Lists!$J:$L,3,FALSE),0))</f>
        <v/>
      </c>
    </row>
    <row r="137">
      <c r="T137" s="19">
        <f>IF($A137="","",VLOOKUP($A137,DevRateTable,3,FALSE))</f>
        <v/>
      </c>
      <c r="U137" s="16">
        <f>IF(I137="","",I137*IFERROR(VLOOKUP($A137&amp;"|Feb",Lists!$J:$L,2,FALSE),0)*IFERROR(VLOOKUP($A137&amp;"|Feb",Lists!$J:$L,3,FALSE),0))</f>
        <v/>
      </c>
      <c r="V137" s="16">
        <f>IF(J137="","",J137*IFERROR(VLOOKUP($A137&amp;"|Mar",Lists!$J:$L,2,FALSE),0)*IFERROR(VLOOKUP($A137&amp;"|Mar",Lists!$J:$L,3,FALSE),0))</f>
        <v/>
      </c>
      <c r="W137" s="16">
        <f>IF(K137="","",K137*IFERROR(VLOOKUP($A137&amp;"|Apr",Lists!$J:$L,2,FALSE),0)*IFERROR(VLOOKUP($A137&amp;"|Apr",Lists!$J:$L,3,FALSE),0))</f>
        <v/>
      </c>
      <c r="X137" s="16">
        <f>IF(L137="","",L137*IFERROR(VLOOKUP($A137&amp;"|May",Lists!$J:$L,2,FALSE),0)*IFERROR(VLOOKUP($A137&amp;"|May",Lists!$J:$L,3,FALSE),0))</f>
        <v/>
      </c>
      <c r="Y137" s="16">
        <f>IF(M137="","",M137*IFERROR(VLOOKUP($A137&amp;"|Jun",Lists!$J:$L,2,FALSE),0)*IFERROR(VLOOKUP($A137&amp;"|Jun",Lists!$J:$L,3,FALSE),0))</f>
        <v/>
      </c>
      <c r="Z137" s="16">
        <f>IF(N137="","",N137*IFERROR(VLOOKUP($A137&amp;"|Jul",Lists!$J:$L,2,FALSE),0)*IFERROR(VLOOKUP($A137&amp;"|Jul",Lists!$J:$L,3,FALSE),0))</f>
        <v/>
      </c>
      <c r="AA137" s="16">
        <f>IF(O137="","",O137*IFERROR(VLOOKUP($A137&amp;"|Aug",Lists!$J:$L,2,FALSE),0)*IFERROR(VLOOKUP($A137&amp;"|Aug",Lists!$J:$L,3,FALSE),0))</f>
        <v/>
      </c>
      <c r="AB137" s="16">
        <f>IF(P137="","",P137*IFERROR(VLOOKUP($A137&amp;"|Sep",Lists!$J:$L,2,FALSE),0)*IFERROR(VLOOKUP($A137&amp;"|Sep",Lists!$J:$L,3,FALSE),0))</f>
        <v/>
      </c>
      <c r="AC137" s="16">
        <f>IF(Q137="","",Q137*IFERROR(VLOOKUP($A137&amp;"|Oct",Lists!$J:$L,2,FALSE),0)*IFERROR(VLOOKUP($A137&amp;"|Oct",Lists!$J:$L,3,FALSE),0))</f>
        <v/>
      </c>
      <c r="AD137" s="16">
        <f>IF(R137="","",R137*IFERROR(VLOOKUP($A137&amp;"|Nov",Lists!$J:$L,2,FALSE),0)*IFERROR(VLOOKUP($A137&amp;"|Nov",Lists!$J:$L,3,FALSE),0))</f>
        <v/>
      </c>
      <c r="AE137" s="16">
        <f>IF(S137="","",S137*IFERROR(VLOOKUP($A137&amp;"|Dec",Lists!$J:$L,2,FALSE),0)*IFERROR(VLOOKUP($A137&amp;"|Dec",Lists!$J:$L,3,FALSE),0))</f>
        <v/>
      </c>
    </row>
    <row r="138">
      <c r="T138" s="19">
        <f>IF($A138="","",VLOOKUP($A138,DevRateTable,3,FALSE))</f>
        <v/>
      </c>
      <c r="U138" s="16">
        <f>IF(I138="","",I138*IFERROR(VLOOKUP($A138&amp;"|Feb",Lists!$J:$L,2,FALSE),0)*IFERROR(VLOOKUP($A138&amp;"|Feb",Lists!$J:$L,3,FALSE),0))</f>
        <v/>
      </c>
      <c r="V138" s="16">
        <f>IF(J138="","",J138*IFERROR(VLOOKUP($A138&amp;"|Mar",Lists!$J:$L,2,FALSE),0)*IFERROR(VLOOKUP($A138&amp;"|Mar",Lists!$J:$L,3,FALSE),0))</f>
        <v/>
      </c>
      <c r="W138" s="16">
        <f>IF(K138="","",K138*IFERROR(VLOOKUP($A138&amp;"|Apr",Lists!$J:$L,2,FALSE),0)*IFERROR(VLOOKUP($A138&amp;"|Apr",Lists!$J:$L,3,FALSE),0))</f>
        <v/>
      </c>
      <c r="X138" s="16">
        <f>IF(L138="","",L138*IFERROR(VLOOKUP($A138&amp;"|May",Lists!$J:$L,2,FALSE),0)*IFERROR(VLOOKUP($A138&amp;"|May",Lists!$J:$L,3,FALSE),0))</f>
        <v/>
      </c>
      <c r="Y138" s="16">
        <f>IF(M138="","",M138*IFERROR(VLOOKUP($A138&amp;"|Jun",Lists!$J:$L,2,FALSE),0)*IFERROR(VLOOKUP($A138&amp;"|Jun",Lists!$J:$L,3,FALSE),0))</f>
        <v/>
      </c>
      <c r="Z138" s="16">
        <f>IF(N138="","",N138*IFERROR(VLOOKUP($A138&amp;"|Jul",Lists!$J:$L,2,FALSE),0)*IFERROR(VLOOKUP($A138&amp;"|Jul",Lists!$J:$L,3,FALSE),0))</f>
        <v/>
      </c>
      <c r="AA138" s="16">
        <f>IF(O138="","",O138*IFERROR(VLOOKUP($A138&amp;"|Aug",Lists!$J:$L,2,FALSE),0)*IFERROR(VLOOKUP($A138&amp;"|Aug",Lists!$J:$L,3,FALSE),0))</f>
        <v/>
      </c>
      <c r="AB138" s="16">
        <f>IF(P138="","",P138*IFERROR(VLOOKUP($A138&amp;"|Sep",Lists!$J:$L,2,FALSE),0)*IFERROR(VLOOKUP($A138&amp;"|Sep",Lists!$J:$L,3,FALSE),0))</f>
        <v/>
      </c>
      <c r="AC138" s="16">
        <f>IF(Q138="","",Q138*IFERROR(VLOOKUP($A138&amp;"|Oct",Lists!$J:$L,2,FALSE),0)*IFERROR(VLOOKUP($A138&amp;"|Oct",Lists!$J:$L,3,FALSE),0))</f>
        <v/>
      </c>
      <c r="AD138" s="16">
        <f>IF(R138="","",R138*IFERROR(VLOOKUP($A138&amp;"|Nov",Lists!$J:$L,2,FALSE),0)*IFERROR(VLOOKUP($A138&amp;"|Nov",Lists!$J:$L,3,FALSE),0))</f>
        <v/>
      </c>
      <c r="AE138" s="16">
        <f>IF(S138="","",S138*IFERROR(VLOOKUP($A138&amp;"|Dec",Lists!$J:$L,2,FALSE),0)*IFERROR(VLOOKUP($A138&amp;"|Dec",Lists!$J:$L,3,FALSE),0))</f>
        <v/>
      </c>
    </row>
    <row r="139">
      <c r="T139" s="19">
        <f>IF($A139="","",VLOOKUP($A139,DevRateTable,3,FALSE))</f>
        <v/>
      </c>
      <c r="U139" s="16">
        <f>IF(I139="","",I139*IFERROR(VLOOKUP($A139&amp;"|Feb",Lists!$J:$L,2,FALSE),0)*IFERROR(VLOOKUP($A139&amp;"|Feb",Lists!$J:$L,3,FALSE),0))</f>
        <v/>
      </c>
      <c r="V139" s="16">
        <f>IF(J139="","",J139*IFERROR(VLOOKUP($A139&amp;"|Mar",Lists!$J:$L,2,FALSE),0)*IFERROR(VLOOKUP($A139&amp;"|Mar",Lists!$J:$L,3,FALSE),0))</f>
        <v/>
      </c>
      <c r="W139" s="16">
        <f>IF(K139="","",K139*IFERROR(VLOOKUP($A139&amp;"|Apr",Lists!$J:$L,2,FALSE),0)*IFERROR(VLOOKUP($A139&amp;"|Apr",Lists!$J:$L,3,FALSE),0))</f>
        <v/>
      </c>
      <c r="X139" s="16">
        <f>IF(L139="","",L139*IFERROR(VLOOKUP($A139&amp;"|May",Lists!$J:$L,2,FALSE),0)*IFERROR(VLOOKUP($A139&amp;"|May",Lists!$J:$L,3,FALSE),0))</f>
        <v/>
      </c>
      <c r="Y139" s="16">
        <f>IF(M139="","",M139*IFERROR(VLOOKUP($A139&amp;"|Jun",Lists!$J:$L,2,FALSE),0)*IFERROR(VLOOKUP($A139&amp;"|Jun",Lists!$J:$L,3,FALSE),0))</f>
        <v/>
      </c>
      <c r="Z139" s="16">
        <f>IF(N139="","",N139*IFERROR(VLOOKUP($A139&amp;"|Jul",Lists!$J:$L,2,FALSE),0)*IFERROR(VLOOKUP($A139&amp;"|Jul",Lists!$J:$L,3,FALSE),0))</f>
        <v/>
      </c>
      <c r="AA139" s="16">
        <f>IF(O139="","",O139*IFERROR(VLOOKUP($A139&amp;"|Aug",Lists!$J:$L,2,FALSE),0)*IFERROR(VLOOKUP($A139&amp;"|Aug",Lists!$J:$L,3,FALSE),0))</f>
        <v/>
      </c>
      <c r="AB139" s="16">
        <f>IF(P139="","",P139*IFERROR(VLOOKUP($A139&amp;"|Sep",Lists!$J:$L,2,FALSE),0)*IFERROR(VLOOKUP($A139&amp;"|Sep",Lists!$J:$L,3,FALSE),0))</f>
        <v/>
      </c>
      <c r="AC139" s="16">
        <f>IF(Q139="","",Q139*IFERROR(VLOOKUP($A139&amp;"|Oct",Lists!$J:$L,2,FALSE),0)*IFERROR(VLOOKUP($A139&amp;"|Oct",Lists!$J:$L,3,FALSE),0))</f>
        <v/>
      </c>
      <c r="AD139" s="16">
        <f>IF(R139="","",R139*IFERROR(VLOOKUP($A139&amp;"|Nov",Lists!$J:$L,2,FALSE),0)*IFERROR(VLOOKUP($A139&amp;"|Nov",Lists!$J:$L,3,FALSE),0))</f>
        <v/>
      </c>
      <c r="AE139" s="16">
        <f>IF(S139="","",S139*IFERROR(VLOOKUP($A139&amp;"|Dec",Lists!$J:$L,2,FALSE),0)*IFERROR(VLOOKUP($A139&amp;"|Dec",Lists!$J:$L,3,FALSE),0))</f>
        <v/>
      </c>
    </row>
    <row r="140">
      <c r="T140" s="19">
        <f>IF($A140="","",VLOOKUP($A140,DevRateTable,3,FALSE))</f>
        <v/>
      </c>
      <c r="U140" s="16">
        <f>IF(I140="","",I140*IFERROR(VLOOKUP($A140&amp;"|Feb",Lists!$J:$L,2,FALSE),0)*IFERROR(VLOOKUP($A140&amp;"|Feb",Lists!$J:$L,3,FALSE),0))</f>
        <v/>
      </c>
      <c r="V140" s="16">
        <f>IF(J140="","",J140*IFERROR(VLOOKUP($A140&amp;"|Mar",Lists!$J:$L,2,FALSE),0)*IFERROR(VLOOKUP($A140&amp;"|Mar",Lists!$J:$L,3,FALSE),0))</f>
        <v/>
      </c>
      <c r="W140" s="16">
        <f>IF(K140="","",K140*IFERROR(VLOOKUP($A140&amp;"|Apr",Lists!$J:$L,2,FALSE),0)*IFERROR(VLOOKUP($A140&amp;"|Apr",Lists!$J:$L,3,FALSE),0))</f>
        <v/>
      </c>
      <c r="X140" s="16">
        <f>IF(L140="","",L140*IFERROR(VLOOKUP($A140&amp;"|May",Lists!$J:$L,2,FALSE),0)*IFERROR(VLOOKUP($A140&amp;"|May",Lists!$J:$L,3,FALSE),0))</f>
        <v/>
      </c>
      <c r="Y140" s="16">
        <f>IF(M140="","",M140*IFERROR(VLOOKUP($A140&amp;"|Jun",Lists!$J:$L,2,FALSE),0)*IFERROR(VLOOKUP($A140&amp;"|Jun",Lists!$J:$L,3,FALSE),0))</f>
        <v/>
      </c>
      <c r="Z140" s="16">
        <f>IF(N140="","",N140*IFERROR(VLOOKUP($A140&amp;"|Jul",Lists!$J:$L,2,FALSE),0)*IFERROR(VLOOKUP($A140&amp;"|Jul",Lists!$J:$L,3,FALSE),0))</f>
        <v/>
      </c>
      <c r="AA140" s="16">
        <f>IF(O140="","",O140*IFERROR(VLOOKUP($A140&amp;"|Aug",Lists!$J:$L,2,FALSE),0)*IFERROR(VLOOKUP($A140&amp;"|Aug",Lists!$J:$L,3,FALSE),0))</f>
        <v/>
      </c>
      <c r="AB140" s="16">
        <f>IF(P140="","",P140*IFERROR(VLOOKUP($A140&amp;"|Sep",Lists!$J:$L,2,FALSE),0)*IFERROR(VLOOKUP($A140&amp;"|Sep",Lists!$J:$L,3,FALSE),0))</f>
        <v/>
      </c>
      <c r="AC140" s="16">
        <f>IF(Q140="","",Q140*IFERROR(VLOOKUP($A140&amp;"|Oct",Lists!$J:$L,2,FALSE),0)*IFERROR(VLOOKUP($A140&amp;"|Oct",Lists!$J:$L,3,FALSE),0))</f>
        <v/>
      </c>
      <c r="AD140" s="16">
        <f>IF(R140="","",R140*IFERROR(VLOOKUP($A140&amp;"|Nov",Lists!$J:$L,2,FALSE),0)*IFERROR(VLOOKUP($A140&amp;"|Nov",Lists!$J:$L,3,FALSE),0))</f>
        <v/>
      </c>
      <c r="AE140" s="16">
        <f>IF(S140="","",S140*IFERROR(VLOOKUP($A140&amp;"|Dec",Lists!$J:$L,2,FALSE),0)*IFERROR(VLOOKUP($A140&amp;"|Dec",Lists!$J:$L,3,FALSE),0))</f>
        <v/>
      </c>
    </row>
    <row r="141">
      <c r="T141" s="19">
        <f>IF($A141="","",VLOOKUP($A141,DevRateTable,3,FALSE))</f>
        <v/>
      </c>
      <c r="U141" s="16">
        <f>IF(I141="","",I141*IFERROR(VLOOKUP($A141&amp;"|Feb",Lists!$J:$L,2,FALSE),0)*IFERROR(VLOOKUP($A141&amp;"|Feb",Lists!$J:$L,3,FALSE),0))</f>
        <v/>
      </c>
      <c r="V141" s="16">
        <f>IF(J141="","",J141*IFERROR(VLOOKUP($A141&amp;"|Mar",Lists!$J:$L,2,FALSE),0)*IFERROR(VLOOKUP($A141&amp;"|Mar",Lists!$J:$L,3,FALSE),0))</f>
        <v/>
      </c>
      <c r="W141" s="16">
        <f>IF(K141="","",K141*IFERROR(VLOOKUP($A141&amp;"|Apr",Lists!$J:$L,2,FALSE),0)*IFERROR(VLOOKUP($A141&amp;"|Apr",Lists!$J:$L,3,FALSE),0))</f>
        <v/>
      </c>
      <c r="X141" s="16">
        <f>IF(L141="","",L141*IFERROR(VLOOKUP($A141&amp;"|May",Lists!$J:$L,2,FALSE),0)*IFERROR(VLOOKUP($A141&amp;"|May",Lists!$J:$L,3,FALSE),0))</f>
        <v/>
      </c>
      <c r="Y141" s="16">
        <f>IF(M141="","",M141*IFERROR(VLOOKUP($A141&amp;"|Jun",Lists!$J:$L,2,FALSE),0)*IFERROR(VLOOKUP($A141&amp;"|Jun",Lists!$J:$L,3,FALSE),0))</f>
        <v/>
      </c>
      <c r="Z141" s="16">
        <f>IF(N141="","",N141*IFERROR(VLOOKUP($A141&amp;"|Jul",Lists!$J:$L,2,FALSE),0)*IFERROR(VLOOKUP($A141&amp;"|Jul",Lists!$J:$L,3,FALSE),0))</f>
        <v/>
      </c>
      <c r="AA141" s="16">
        <f>IF(O141="","",O141*IFERROR(VLOOKUP($A141&amp;"|Aug",Lists!$J:$L,2,FALSE),0)*IFERROR(VLOOKUP($A141&amp;"|Aug",Lists!$J:$L,3,FALSE),0))</f>
        <v/>
      </c>
      <c r="AB141" s="16">
        <f>IF(P141="","",P141*IFERROR(VLOOKUP($A141&amp;"|Sep",Lists!$J:$L,2,FALSE),0)*IFERROR(VLOOKUP($A141&amp;"|Sep",Lists!$J:$L,3,FALSE),0))</f>
        <v/>
      </c>
      <c r="AC141" s="16">
        <f>IF(Q141="","",Q141*IFERROR(VLOOKUP($A141&amp;"|Oct",Lists!$J:$L,2,FALSE),0)*IFERROR(VLOOKUP($A141&amp;"|Oct",Lists!$J:$L,3,FALSE),0))</f>
        <v/>
      </c>
      <c r="AD141" s="16">
        <f>IF(R141="","",R141*IFERROR(VLOOKUP($A141&amp;"|Nov",Lists!$J:$L,2,FALSE),0)*IFERROR(VLOOKUP($A141&amp;"|Nov",Lists!$J:$L,3,FALSE),0))</f>
        <v/>
      </c>
      <c r="AE141" s="16">
        <f>IF(S141="","",S141*IFERROR(VLOOKUP($A141&amp;"|Dec",Lists!$J:$L,2,FALSE),0)*IFERROR(VLOOKUP($A141&amp;"|Dec",Lists!$J:$L,3,FALSE),0))</f>
        <v/>
      </c>
    </row>
    <row r="142">
      <c r="T142" s="19">
        <f>IF($A142="","",VLOOKUP($A142,DevRateTable,3,FALSE))</f>
        <v/>
      </c>
      <c r="U142" s="16">
        <f>IF(I142="","",I142*IFERROR(VLOOKUP($A142&amp;"|Feb",Lists!$J:$L,2,FALSE),0)*IFERROR(VLOOKUP($A142&amp;"|Feb",Lists!$J:$L,3,FALSE),0))</f>
        <v/>
      </c>
      <c r="V142" s="16">
        <f>IF(J142="","",J142*IFERROR(VLOOKUP($A142&amp;"|Mar",Lists!$J:$L,2,FALSE),0)*IFERROR(VLOOKUP($A142&amp;"|Mar",Lists!$J:$L,3,FALSE),0))</f>
        <v/>
      </c>
      <c r="W142" s="16">
        <f>IF(K142="","",K142*IFERROR(VLOOKUP($A142&amp;"|Apr",Lists!$J:$L,2,FALSE),0)*IFERROR(VLOOKUP($A142&amp;"|Apr",Lists!$J:$L,3,FALSE),0))</f>
        <v/>
      </c>
      <c r="X142" s="16">
        <f>IF(L142="","",L142*IFERROR(VLOOKUP($A142&amp;"|May",Lists!$J:$L,2,FALSE),0)*IFERROR(VLOOKUP($A142&amp;"|May",Lists!$J:$L,3,FALSE),0))</f>
        <v/>
      </c>
      <c r="Y142" s="16">
        <f>IF(M142="","",M142*IFERROR(VLOOKUP($A142&amp;"|Jun",Lists!$J:$L,2,FALSE),0)*IFERROR(VLOOKUP($A142&amp;"|Jun",Lists!$J:$L,3,FALSE),0))</f>
        <v/>
      </c>
      <c r="Z142" s="16">
        <f>IF(N142="","",N142*IFERROR(VLOOKUP($A142&amp;"|Jul",Lists!$J:$L,2,FALSE),0)*IFERROR(VLOOKUP($A142&amp;"|Jul",Lists!$J:$L,3,FALSE),0))</f>
        <v/>
      </c>
      <c r="AA142" s="16">
        <f>IF(O142="","",O142*IFERROR(VLOOKUP($A142&amp;"|Aug",Lists!$J:$L,2,FALSE),0)*IFERROR(VLOOKUP($A142&amp;"|Aug",Lists!$J:$L,3,FALSE),0))</f>
        <v/>
      </c>
      <c r="AB142" s="16">
        <f>IF(P142="","",P142*IFERROR(VLOOKUP($A142&amp;"|Sep",Lists!$J:$L,2,FALSE),0)*IFERROR(VLOOKUP($A142&amp;"|Sep",Lists!$J:$L,3,FALSE),0))</f>
        <v/>
      </c>
      <c r="AC142" s="16">
        <f>IF(Q142="","",Q142*IFERROR(VLOOKUP($A142&amp;"|Oct",Lists!$J:$L,2,FALSE),0)*IFERROR(VLOOKUP($A142&amp;"|Oct",Lists!$J:$L,3,FALSE),0))</f>
        <v/>
      </c>
      <c r="AD142" s="16">
        <f>IF(R142="","",R142*IFERROR(VLOOKUP($A142&amp;"|Nov",Lists!$J:$L,2,FALSE),0)*IFERROR(VLOOKUP($A142&amp;"|Nov",Lists!$J:$L,3,FALSE),0))</f>
        <v/>
      </c>
      <c r="AE142" s="16">
        <f>IF(S142="","",S142*IFERROR(VLOOKUP($A142&amp;"|Dec",Lists!$J:$L,2,FALSE),0)*IFERROR(VLOOKUP($A142&amp;"|Dec",Lists!$J:$L,3,FALSE),0))</f>
        <v/>
      </c>
    </row>
    <row r="143">
      <c r="T143" s="19">
        <f>IF($A143="","",VLOOKUP($A143,DevRateTable,3,FALSE))</f>
        <v/>
      </c>
      <c r="U143" s="16">
        <f>IF(I143="","",I143*IFERROR(VLOOKUP($A143&amp;"|Feb",Lists!$J:$L,2,FALSE),0)*IFERROR(VLOOKUP($A143&amp;"|Feb",Lists!$J:$L,3,FALSE),0))</f>
        <v/>
      </c>
      <c r="V143" s="16">
        <f>IF(J143="","",J143*IFERROR(VLOOKUP($A143&amp;"|Mar",Lists!$J:$L,2,FALSE),0)*IFERROR(VLOOKUP($A143&amp;"|Mar",Lists!$J:$L,3,FALSE),0))</f>
        <v/>
      </c>
      <c r="W143" s="16">
        <f>IF(K143="","",K143*IFERROR(VLOOKUP($A143&amp;"|Apr",Lists!$J:$L,2,FALSE),0)*IFERROR(VLOOKUP($A143&amp;"|Apr",Lists!$J:$L,3,FALSE),0))</f>
        <v/>
      </c>
      <c r="X143" s="16">
        <f>IF(L143="","",L143*IFERROR(VLOOKUP($A143&amp;"|May",Lists!$J:$L,2,FALSE),0)*IFERROR(VLOOKUP($A143&amp;"|May",Lists!$J:$L,3,FALSE),0))</f>
        <v/>
      </c>
      <c r="Y143" s="16">
        <f>IF(M143="","",M143*IFERROR(VLOOKUP($A143&amp;"|Jun",Lists!$J:$L,2,FALSE),0)*IFERROR(VLOOKUP($A143&amp;"|Jun",Lists!$J:$L,3,FALSE),0))</f>
        <v/>
      </c>
      <c r="Z143" s="16">
        <f>IF(N143="","",N143*IFERROR(VLOOKUP($A143&amp;"|Jul",Lists!$J:$L,2,FALSE),0)*IFERROR(VLOOKUP($A143&amp;"|Jul",Lists!$J:$L,3,FALSE),0))</f>
        <v/>
      </c>
      <c r="AA143" s="16">
        <f>IF(O143="","",O143*IFERROR(VLOOKUP($A143&amp;"|Aug",Lists!$J:$L,2,FALSE),0)*IFERROR(VLOOKUP($A143&amp;"|Aug",Lists!$J:$L,3,FALSE),0))</f>
        <v/>
      </c>
      <c r="AB143" s="16">
        <f>IF(P143="","",P143*IFERROR(VLOOKUP($A143&amp;"|Sep",Lists!$J:$L,2,FALSE),0)*IFERROR(VLOOKUP($A143&amp;"|Sep",Lists!$J:$L,3,FALSE),0))</f>
        <v/>
      </c>
      <c r="AC143" s="16">
        <f>IF(Q143="","",Q143*IFERROR(VLOOKUP($A143&amp;"|Oct",Lists!$J:$L,2,FALSE),0)*IFERROR(VLOOKUP($A143&amp;"|Oct",Lists!$J:$L,3,FALSE),0))</f>
        <v/>
      </c>
      <c r="AD143" s="16">
        <f>IF(R143="","",R143*IFERROR(VLOOKUP($A143&amp;"|Nov",Lists!$J:$L,2,FALSE),0)*IFERROR(VLOOKUP($A143&amp;"|Nov",Lists!$J:$L,3,FALSE),0))</f>
        <v/>
      </c>
      <c r="AE143" s="16">
        <f>IF(S143="","",S143*IFERROR(VLOOKUP($A143&amp;"|Dec",Lists!$J:$L,2,FALSE),0)*IFERROR(VLOOKUP($A143&amp;"|Dec",Lists!$J:$L,3,FALSE),0))</f>
        <v/>
      </c>
    </row>
    <row r="144">
      <c r="T144" s="19">
        <f>IF($A144="","",VLOOKUP($A144,DevRateTable,3,FALSE))</f>
        <v/>
      </c>
      <c r="U144" s="16">
        <f>IF(I144="","",I144*IFERROR(VLOOKUP($A144&amp;"|Feb",Lists!$J:$L,2,FALSE),0)*IFERROR(VLOOKUP($A144&amp;"|Feb",Lists!$J:$L,3,FALSE),0))</f>
        <v/>
      </c>
      <c r="V144" s="16">
        <f>IF(J144="","",J144*IFERROR(VLOOKUP($A144&amp;"|Mar",Lists!$J:$L,2,FALSE),0)*IFERROR(VLOOKUP($A144&amp;"|Mar",Lists!$J:$L,3,FALSE),0))</f>
        <v/>
      </c>
      <c r="W144" s="16">
        <f>IF(K144="","",K144*IFERROR(VLOOKUP($A144&amp;"|Apr",Lists!$J:$L,2,FALSE),0)*IFERROR(VLOOKUP($A144&amp;"|Apr",Lists!$J:$L,3,FALSE),0))</f>
        <v/>
      </c>
      <c r="X144" s="16">
        <f>IF(L144="","",L144*IFERROR(VLOOKUP($A144&amp;"|May",Lists!$J:$L,2,FALSE),0)*IFERROR(VLOOKUP($A144&amp;"|May",Lists!$J:$L,3,FALSE),0))</f>
        <v/>
      </c>
      <c r="Y144" s="16">
        <f>IF(M144="","",M144*IFERROR(VLOOKUP($A144&amp;"|Jun",Lists!$J:$L,2,FALSE),0)*IFERROR(VLOOKUP($A144&amp;"|Jun",Lists!$J:$L,3,FALSE),0))</f>
        <v/>
      </c>
      <c r="Z144" s="16">
        <f>IF(N144="","",N144*IFERROR(VLOOKUP($A144&amp;"|Jul",Lists!$J:$L,2,FALSE),0)*IFERROR(VLOOKUP($A144&amp;"|Jul",Lists!$J:$L,3,FALSE),0))</f>
        <v/>
      </c>
      <c r="AA144" s="16">
        <f>IF(O144="","",O144*IFERROR(VLOOKUP($A144&amp;"|Aug",Lists!$J:$L,2,FALSE),0)*IFERROR(VLOOKUP($A144&amp;"|Aug",Lists!$J:$L,3,FALSE),0))</f>
        <v/>
      </c>
      <c r="AB144" s="16">
        <f>IF(P144="","",P144*IFERROR(VLOOKUP($A144&amp;"|Sep",Lists!$J:$L,2,FALSE),0)*IFERROR(VLOOKUP($A144&amp;"|Sep",Lists!$J:$L,3,FALSE),0))</f>
        <v/>
      </c>
      <c r="AC144" s="16">
        <f>IF(Q144="","",Q144*IFERROR(VLOOKUP($A144&amp;"|Oct",Lists!$J:$L,2,FALSE),0)*IFERROR(VLOOKUP($A144&amp;"|Oct",Lists!$J:$L,3,FALSE),0))</f>
        <v/>
      </c>
      <c r="AD144" s="16">
        <f>IF(R144="","",R144*IFERROR(VLOOKUP($A144&amp;"|Nov",Lists!$J:$L,2,FALSE),0)*IFERROR(VLOOKUP($A144&amp;"|Nov",Lists!$J:$L,3,FALSE),0))</f>
        <v/>
      </c>
      <c r="AE144" s="16">
        <f>IF(S144="","",S144*IFERROR(VLOOKUP($A144&amp;"|Dec",Lists!$J:$L,2,FALSE),0)*IFERROR(VLOOKUP($A144&amp;"|Dec",Lists!$J:$L,3,FALSE),0))</f>
        <v/>
      </c>
    </row>
    <row r="145">
      <c r="T145" s="19">
        <f>IF($A145="","",VLOOKUP($A145,DevRateTable,3,FALSE))</f>
        <v/>
      </c>
      <c r="U145" s="16">
        <f>IF(I145="","",I145*IFERROR(VLOOKUP($A145&amp;"|Feb",Lists!$J:$L,2,FALSE),0)*IFERROR(VLOOKUP($A145&amp;"|Feb",Lists!$J:$L,3,FALSE),0))</f>
        <v/>
      </c>
      <c r="V145" s="16">
        <f>IF(J145="","",J145*IFERROR(VLOOKUP($A145&amp;"|Mar",Lists!$J:$L,2,FALSE),0)*IFERROR(VLOOKUP($A145&amp;"|Mar",Lists!$J:$L,3,FALSE),0))</f>
        <v/>
      </c>
      <c r="W145" s="16">
        <f>IF(K145="","",K145*IFERROR(VLOOKUP($A145&amp;"|Apr",Lists!$J:$L,2,FALSE),0)*IFERROR(VLOOKUP($A145&amp;"|Apr",Lists!$J:$L,3,FALSE),0))</f>
        <v/>
      </c>
      <c r="X145" s="16">
        <f>IF(L145="","",L145*IFERROR(VLOOKUP($A145&amp;"|May",Lists!$J:$L,2,FALSE),0)*IFERROR(VLOOKUP($A145&amp;"|May",Lists!$J:$L,3,FALSE),0))</f>
        <v/>
      </c>
      <c r="Y145" s="16">
        <f>IF(M145="","",M145*IFERROR(VLOOKUP($A145&amp;"|Jun",Lists!$J:$L,2,FALSE),0)*IFERROR(VLOOKUP($A145&amp;"|Jun",Lists!$J:$L,3,FALSE),0))</f>
        <v/>
      </c>
      <c r="Z145" s="16">
        <f>IF(N145="","",N145*IFERROR(VLOOKUP($A145&amp;"|Jul",Lists!$J:$L,2,FALSE),0)*IFERROR(VLOOKUP($A145&amp;"|Jul",Lists!$J:$L,3,FALSE),0))</f>
        <v/>
      </c>
      <c r="AA145" s="16">
        <f>IF(O145="","",O145*IFERROR(VLOOKUP($A145&amp;"|Aug",Lists!$J:$L,2,FALSE),0)*IFERROR(VLOOKUP($A145&amp;"|Aug",Lists!$J:$L,3,FALSE),0))</f>
        <v/>
      </c>
      <c r="AB145" s="16">
        <f>IF(P145="","",P145*IFERROR(VLOOKUP($A145&amp;"|Sep",Lists!$J:$L,2,FALSE),0)*IFERROR(VLOOKUP($A145&amp;"|Sep",Lists!$J:$L,3,FALSE),0))</f>
        <v/>
      </c>
      <c r="AC145" s="16">
        <f>IF(Q145="","",Q145*IFERROR(VLOOKUP($A145&amp;"|Oct",Lists!$J:$L,2,FALSE),0)*IFERROR(VLOOKUP($A145&amp;"|Oct",Lists!$J:$L,3,FALSE),0))</f>
        <v/>
      </c>
      <c r="AD145" s="16">
        <f>IF(R145="","",R145*IFERROR(VLOOKUP($A145&amp;"|Nov",Lists!$J:$L,2,FALSE),0)*IFERROR(VLOOKUP($A145&amp;"|Nov",Lists!$J:$L,3,FALSE),0))</f>
        <v/>
      </c>
      <c r="AE145" s="16">
        <f>IF(S145="","",S145*IFERROR(VLOOKUP($A145&amp;"|Dec",Lists!$J:$L,2,FALSE),0)*IFERROR(VLOOKUP($A145&amp;"|Dec",Lists!$J:$L,3,FALSE),0))</f>
        <v/>
      </c>
    </row>
    <row r="146">
      <c r="T146" s="19">
        <f>IF($A146="","",VLOOKUP($A146,DevRateTable,3,FALSE))</f>
        <v/>
      </c>
      <c r="U146" s="16">
        <f>IF(I146="","",I146*IFERROR(VLOOKUP($A146&amp;"|Feb",Lists!$J:$L,2,FALSE),0)*IFERROR(VLOOKUP($A146&amp;"|Feb",Lists!$J:$L,3,FALSE),0))</f>
        <v/>
      </c>
      <c r="V146" s="16">
        <f>IF(J146="","",J146*IFERROR(VLOOKUP($A146&amp;"|Mar",Lists!$J:$L,2,FALSE),0)*IFERROR(VLOOKUP($A146&amp;"|Mar",Lists!$J:$L,3,FALSE),0))</f>
        <v/>
      </c>
      <c r="W146" s="16">
        <f>IF(K146="","",K146*IFERROR(VLOOKUP($A146&amp;"|Apr",Lists!$J:$L,2,FALSE),0)*IFERROR(VLOOKUP($A146&amp;"|Apr",Lists!$J:$L,3,FALSE),0))</f>
        <v/>
      </c>
      <c r="X146" s="16">
        <f>IF(L146="","",L146*IFERROR(VLOOKUP($A146&amp;"|May",Lists!$J:$L,2,FALSE),0)*IFERROR(VLOOKUP($A146&amp;"|May",Lists!$J:$L,3,FALSE),0))</f>
        <v/>
      </c>
      <c r="Y146" s="16">
        <f>IF(M146="","",M146*IFERROR(VLOOKUP($A146&amp;"|Jun",Lists!$J:$L,2,FALSE),0)*IFERROR(VLOOKUP($A146&amp;"|Jun",Lists!$J:$L,3,FALSE),0))</f>
        <v/>
      </c>
      <c r="Z146" s="16">
        <f>IF(N146="","",N146*IFERROR(VLOOKUP($A146&amp;"|Jul",Lists!$J:$L,2,FALSE),0)*IFERROR(VLOOKUP($A146&amp;"|Jul",Lists!$J:$L,3,FALSE),0))</f>
        <v/>
      </c>
      <c r="AA146" s="16">
        <f>IF(O146="","",O146*IFERROR(VLOOKUP($A146&amp;"|Aug",Lists!$J:$L,2,FALSE),0)*IFERROR(VLOOKUP($A146&amp;"|Aug",Lists!$J:$L,3,FALSE),0))</f>
        <v/>
      </c>
      <c r="AB146" s="16">
        <f>IF(P146="","",P146*IFERROR(VLOOKUP($A146&amp;"|Sep",Lists!$J:$L,2,FALSE),0)*IFERROR(VLOOKUP($A146&amp;"|Sep",Lists!$J:$L,3,FALSE),0))</f>
        <v/>
      </c>
      <c r="AC146" s="16">
        <f>IF(Q146="","",Q146*IFERROR(VLOOKUP($A146&amp;"|Oct",Lists!$J:$L,2,FALSE),0)*IFERROR(VLOOKUP($A146&amp;"|Oct",Lists!$J:$L,3,FALSE),0))</f>
        <v/>
      </c>
      <c r="AD146" s="16">
        <f>IF(R146="","",R146*IFERROR(VLOOKUP($A146&amp;"|Nov",Lists!$J:$L,2,FALSE),0)*IFERROR(VLOOKUP($A146&amp;"|Nov",Lists!$J:$L,3,FALSE),0))</f>
        <v/>
      </c>
      <c r="AE146" s="16">
        <f>IF(S146="","",S146*IFERROR(VLOOKUP($A146&amp;"|Dec",Lists!$J:$L,2,FALSE),0)*IFERROR(VLOOKUP($A146&amp;"|Dec",Lists!$J:$L,3,FALSE),0))</f>
        <v/>
      </c>
    </row>
    <row r="147">
      <c r="T147" s="19">
        <f>IF($A147="","",VLOOKUP($A147,DevRateTable,3,FALSE))</f>
        <v/>
      </c>
      <c r="U147" s="16">
        <f>IF(I147="","",I147*IFERROR(VLOOKUP($A147&amp;"|Feb",Lists!$J:$L,2,FALSE),0)*IFERROR(VLOOKUP($A147&amp;"|Feb",Lists!$J:$L,3,FALSE),0))</f>
        <v/>
      </c>
      <c r="V147" s="16">
        <f>IF(J147="","",J147*IFERROR(VLOOKUP($A147&amp;"|Mar",Lists!$J:$L,2,FALSE),0)*IFERROR(VLOOKUP($A147&amp;"|Mar",Lists!$J:$L,3,FALSE),0))</f>
        <v/>
      </c>
      <c r="W147" s="16">
        <f>IF(K147="","",K147*IFERROR(VLOOKUP($A147&amp;"|Apr",Lists!$J:$L,2,FALSE),0)*IFERROR(VLOOKUP($A147&amp;"|Apr",Lists!$J:$L,3,FALSE),0))</f>
        <v/>
      </c>
      <c r="X147" s="16">
        <f>IF(L147="","",L147*IFERROR(VLOOKUP($A147&amp;"|May",Lists!$J:$L,2,FALSE),0)*IFERROR(VLOOKUP($A147&amp;"|May",Lists!$J:$L,3,FALSE),0))</f>
        <v/>
      </c>
      <c r="Y147" s="16">
        <f>IF(M147="","",M147*IFERROR(VLOOKUP($A147&amp;"|Jun",Lists!$J:$L,2,FALSE),0)*IFERROR(VLOOKUP($A147&amp;"|Jun",Lists!$J:$L,3,FALSE),0))</f>
        <v/>
      </c>
      <c r="Z147" s="16">
        <f>IF(N147="","",N147*IFERROR(VLOOKUP($A147&amp;"|Jul",Lists!$J:$L,2,FALSE),0)*IFERROR(VLOOKUP($A147&amp;"|Jul",Lists!$J:$L,3,FALSE),0))</f>
        <v/>
      </c>
      <c r="AA147" s="16">
        <f>IF(O147="","",O147*IFERROR(VLOOKUP($A147&amp;"|Aug",Lists!$J:$L,2,FALSE),0)*IFERROR(VLOOKUP($A147&amp;"|Aug",Lists!$J:$L,3,FALSE),0))</f>
        <v/>
      </c>
      <c r="AB147" s="16">
        <f>IF(P147="","",P147*IFERROR(VLOOKUP($A147&amp;"|Sep",Lists!$J:$L,2,FALSE),0)*IFERROR(VLOOKUP($A147&amp;"|Sep",Lists!$J:$L,3,FALSE),0))</f>
        <v/>
      </c>
      <c r="AC147" s="16">
        <f>IF(Q147="","",Q147*IFERROR(VLOOKUP($A147&amp;"|Oct",Lists!$J:$L,2,FALSE),0)*IFERROR(VLOOKUP($A147&amp;"|Oct",Lists!$J:$L,3,FALSE),0))</f>
        <v/>
      </c>
      <c r="AD147" s="16">
        <f>IF(R147="","",R147*IFERROR(VLOOKUP($A147&amp;"|Nov",Lists!$J:$L,2,FALSE),0)*IFERROR(VLOOKUP($A147&amp;"|Nov",Lists!$J:$L,3,FALSE),0))</f>
        <v/>
      </c>
      <c r="AE147" s="16">
        <f>IF(S147="","",S147*IFERROR(VLOOKUP($A147&amp;"|Dec",Lists!$J:$L,2,FALSE),0)*IFERROR(VLOOKUP($A147&amp;"|Dec",Lists!$J:$L,3,FALSE),0))</f>
        <v/>
      </c>
    </row>
    <row r="148">
      <c r="T148" s="19">
        <f>IF($A148="","",VLOOKUP($A148,DevRateTable,3,FALSE))</f>
        <v/>
      </c>
      <c r="U148" s="16">
        <f>IF(I148="","",I148*IFERROR(VLOOKUP($A148&amp;"|Feb",Lists!$J:$L,2,FALSE),0)*IFERROR(VLOOKUP($A148&amp;"|Feb",Lists!$J:$L,3,FALSE),0))</f>
        <v/>
      </c>
      <c r="V148" s="16">
        <f>IF(J148="","",J148*IFERROR(VLOOKUP($A148&amp;"|Mar",Lists!$J:$L,2,FALSE),0)*IFERROR(VLOOKUP($A148&amp;"|Mar",Lists!$J:$L,3,FALSE),0))</f>
        <v/>
      </c>
      <c r="W148" s="16">
        <f>IF(K148="","",K148*IFERROR(VLOOKUP($A148&amp;"|Apr",Lists!$J:$L,2,FALSE),0)*IFERROR(VLOOKUP($A148&amp;"|Apr",Lists!$J:$L,3,FALSE),0))</f>
        <v/>
      </c>
      <c r="X148" s="16">
        <f>IF(L148="","",L148*IFERROR(VLOOKUP($A148&amp;"|May",Lists!$J:$L,2,FALSE),0)*IFERROR(VLOOKUP($A148&amp;"|May",Lists!$J:$L,3,FALSE),0))</f>
        <v/>
      </c>
      <c r="Y148" s="16">
        <f>IF(M148="","",M148*IFERROR(VLOOKUP($A148&amp;"|Jun",Lists!$J:$L,2,FALSE),0)*IFERROR(VLOOKUP($A148&amp;"|Jun",Lists!$J:$L,3,FALSE),0))</f>
        <v/>
      </c>
      <c r="Z148" s="16">
        <f>IF(N148="","",N148*IFERROR(VLOOKUP($A148&amp;"|Jul",Lists!$J:$L,2,FALSE),0)*IFERROR(VLOOKUP($A148&amp;"|Jul",Lists!$J:$L,3,FALSE),0))</f>
        <v/>
      </c>
      <c r="AA148" s="16">
        <f>IF(O148="","",O148*IFERROR(VLOOKUP($A148&amp;"|Aug",Lists!$J:$L,2,FALSE),0)*IFERROR(VLOOKUP($A148&amp;"|Aug",Lists!$J:$L,3,FALSE),0))</f>
        <v/>
      </c>
      <c r="AB148" s="16">
        <f>IF(P148="","",P148*IFERROR(VLOOKUP($A148&amp;"|Sep",Lists!$J:$L,2,FALSE),0)*IFERROR(VLOOKUP($A148&amp;"|Sep",Lists!$J:$L,3,FALSE),0))</f>
        <v/>
      </c>
      <c r="AC148" s="16">
        <f>IF(Q148="","",Q148*IFERROR(VLOOKUP($A148&amp;"|Oct",Lists!$J:$L,2,FALSE),0)*IFERROR(VLOOKUP($A148&amp;"|Oct",Lists!$J:$L,3,FALSE),0))</f>
        <v/>
      </c>
      <c r="AD148" s="16">
        <f>IF(R148="","",R148*IFERROR(VLOOKUP($A148&amp;"|Nov",Lists!$J:$L,2,FALSE),0)*IFERROR(VLOOKUP($A148&amp;"|Nov",Lists!$J:$L,3,FALSE),0))</f>
        <v/>
      </c>
      <c r="AE148" s="16">
        <f>IF(S148="","",S148*IFERROR(VLOOKUP($A148&amp;"|Dec",Lists!$J:$L,2,FALSE),0)*IFERROR(VLOOKUP($A148&amp;"|Dec",Lists!$J:$L,3,FALSE),0))</f>
        <v/>
      </c>
    </row>
    <row r="149">
      <c r="T149" s="19">
        <f>IF($A149="","",VLOOKUP($A149,DevRateTable,3,FALSE))</f>
        <v/>
      </c>
      <c r="U149" s="16">
        <f>IF(I149="","",I149*IFERROR(VLOOKUP($A149&amp;"|Feb",Lists!$J:$L,2,FALSE),0)*IFERROR(VLOOKUP($A149&amp;"|Feb",Lists!$J:$L,3,FALSE),0))</f>
        <v/>
      </c>
      <c r="V149" s="16">
        <f>IF(J149="","",J149*IFERROR(VLOOKUP($A149&amp;"|Mar",Lists!$J:$L,2,FALSE),0)*IFERROR(VLOOKUP($A149&amp;"|Mar",Lists!$J:$L,3,FALSE),0))</f>
        <v/>
      </c>
      <c r="W149" s="16">
        <f>IF(K149="","",K149*IFERROR(VLOOKUP($A149&amp;"|Apr",Lists!$J:$L,2,FALSE),0)*IFERROR(VLOOKUP($A149&amp;"|Apr",Lists!$J:$L,3,FALSE),0))</f>
        <v/>
      </c>
      <c r="X149" s="16">
        <f>IF(L149="","",L149*IFERROR(VLOOKUP($A149&amp;"|May",Lists!$J:$L,2,FALSE),0)*IFERROR(VLOOKUP($A149&amp;"|May",Lists!$J:$L,3,FALSE),0))</f>
        <v/>
      </c>
      <c r="Y149" s="16">
        <f>IF(M149="","",M149*IFERROR(VLOOKUP($A149&amp;"|Jun",Lists!$J:$L,2,FALSE),0)*IFERROR(VLOOKUP($A149&amp;"|Jun",Lists!$J:$L,3,FALSE),0))</f>
        <v/>
      </c>
      <c r="Z149" s="16">
        <f>IF(N149="","",N149*IFERROR(VLOOKUP($A149&amp;"|Jul",Lists!$J:$L,2,FALSE),0)*IFERROR(VLOOKUP($A149&amp;"|Jul",Lists!$J:$L,3,FALSE),0))</f>
        <v/>
      </c>
      <c r="AA149" s="16">
        <f>IF(O149="","",O149*IFERROR(VLOOKUP($A149&amp;"|Aug",Lists!$J:$L,2,FALSE),0)*IFERROR(VLOOKUP($A149&amp;"|Aug",Lists!$J:$L,3,FALSE),0))</f>
        <v/>
      </c>
      <c r="AB149" s="16">
        <f>IF(P149="","",P149*IFERROR(VLOOKUP($A149&amp;"|Sep",Lists!$J:$L,2,FALSE),0)*IFERROR(VLOOKUP($A149&amp;"|Sep",Lists!$J:$L,3,FALSE),0))</f>
        <v/>
      </c>
      <c r="AC149" s="16">
        <f>IF(Q149="","",Q149*IFERROR(VLOOKUP($A149&amp;"|Oct",Lists!$J:$L,2,FALSE),0)*IFERROR(VLOOKUP($A149&amp;"|Oct",Lists!$J:$L,3,FALSE),0))</f>
        <v/>
      </c>
      <c r="AD149" s="16">
        <f>IF(R149="","",R149*IFERROR(VLOOKUP($A149&amp;"|Nov",Lists!$J:$L,2,FALSE),0)*IFERROR(VLOOKUP($A149&amp;"|Nov",Lists!$J:$L,3,FALSE),0))</f>
        <v/>
      </c>
      <c r="AE149" s="16">
        <f>IF(S149="","",S149*IFERROR(VLOOKUP($A149&amp;"|Dec",Lists!$J:$L,2,FALSE),0)*IFERROR(VLOOKUP($A149&amp;"|Dec",Lists!$J:$L,3,FALSE),0))</f>
        <v/>
      </c>
    </row>
    <row r="150">
      <c r="T150" s="19">
        <f>IF($A150="","",VLOOKUP($A150,DevRateTable,3,FALSE))</f>
        <v/>
      </c>
      <c r="U150" s="16">
        <f>IF(I150="","",I150*IFERROR(VLOOKUP($A150&amp;"|Feb",Lists!$J:$L,2,FALSE),0)*IFERROR(VLOOKUP($A150&amp;"|Feb",Lists!$J:$L,3,FALSE),0))</f>
        <v/>
      </c>
      <c r="V150" s="16">
        <f>IF(J150="","",J150*IFERROR(VLOOKUP($A150&amp;"|Mar",Lists!$J:$L,2,FALSE),0)*IFERROR(VLOOKUP($A150&amp;"|Mar",Lists!$J:$L,3,FALSE),0))</f>
        <v/>
      </c>
      <c r="W150" s="16">
        <f>IF(K150="","",K150*IFERROR(VLOOKUP($A150&amp;"|Apr",Lists!$J:$L,2,FALSE),0)*IFERROR(VLOOKUP($A150&amp;"|Apr",Lists!$J:$L,3,FALSE),0))</f>
        <v/>
      </c>
      <c r="X150" s="16">
        <f>IF(L150="","",L150*IFERROR(VLOOKUP($A150&amp;"|May",Lists!$J:$L,2,FALSE),0)*IFERROR(VLOOKUP($A150&amp;"|May",Lists!$J:$L,3,FALSE),0))</f>
        <v/>
      </c>
      <c r="Y150" s="16">
        <f>IF(M150="","",M150*IFERROR(VLOOKUP($A150&amp;"|Jun",Lists!$J:$L,2,FALSE),0)*IFERROR(VLOOKUP($A150&amp;"|Jun",Lists!$J:$L,3,FALSE),0))</f>
        <v/>
      </c>
      <c r="Z150" s="16">
        <f>IF(N150="","",N150*IFERROR(VLOOKUP($A150&amp;"|Jul",Lists!$J:$L,2,FALSE),0)*IFERROR(VLOOKUP($A150&amp;"|Jul",Lists!$J:$L,3,FALSE),0))</f>
        <v/>
      </c>
      <c r="AA150" s="16">
        <f>IF(O150="","",O150*IFERROR(VLOOKUP($A150&amp;"|Aug",Lists!$J:$L,2,FALSE),0)*IFERROR(VLOOKUP($A150&amp;"|Aug",Lists!$J:$L,3,FALSE),0))</f>
        <v/>
      </c>
      <c r="AB150" s="16">
        <f>IF(P150="","",P150*IFERROR(VLOOKUP($A150&amp;"|Sep",Lists!$J:$L,2,FALSE),0)*IFERROR(VLOOKUP($A150&amp;"|Sep",Lists!$J:$L,3,FALSE),0))</f>
        <v/>
      </c>
      <c r="AC150" s="16">
        <f>IF(Q150="","",Q150*IFERROR(VLOOKUP($A150&amp;"|Oct",Lists!$J:$L,2,FALSE),0)*IFERROR(VLOOKUP($A150&amp;"|Oct",Lists!$J:$L,3,FALSE),0))</f>
        <v/>
      </c>
      <c r="AD150" s="16">
        <f>IF(R150="","",R150*IFERROR(VLOOKUP($A150&amp;"|Nov",Lists!$J:$L,2,FALSE),0)*IFERROR(VLOOKUP($A150&amp;"|Nov",Lists!$J:$L,3,FALSE),0))</f>
        <v/>
      </c>
      <c r="AE150" s="16">
        <f>IF(S150="","",S150*IFERROR(VLOOKUP($A150&amp;"|Dec",Lists!$J:$L,2,FALSE),0)*IFERROR(VLOOKUP($A150&amp;"|Dec",Lists!$J:$L,3,FALSE),0))</f>
        <v/>
      </c>
    </row>
    <row r="151">
      <c r="T151" s="19">
        <f>IF($A151="","",VLOOKUP($A151,DevRateTable,3,FALSE))</f>
        <v/>
      </c>
      <c r="U151" s="16">
        <f>IF(I151="","",I151*IFERROR(VLOOKUP($A151&amp;"|Feb",Lists!$J:$L,2,FALSE),0)*IFERROR(VLOOKUP($A151&amp;"|Feb",Lists!$J:$L,3,FALSE),0))</f>
        <v/>
      </c>
      <c r="V151" s="16">
        <f>IF(J151="","",J151*IFERROR(VLOOKUP($A151&amp;"|Mar",Lists!$J:$L,2,FALSE),0)*IFERROR(VLOOKUP($A151&amp;"|Mar",Lists!$J:$L,3,FALSE),0))</f>
        <v/>
      </c>
      <c r="W151" s="16">
        <f>IF(K151="","",K151*IFERROR(VLOOKUP($A151&amp;"|Apr",Lists!$J:$L,2,FALSE),0)*IFERROR(VLOOKUP($A151&amp;"|Apr",Lists!$J:$L,3,FALSE),0))</f>
        <v/>
      </c>
      <c r="X151" s="16">
        <f>IF(L151="","",L151*IFERROR(VLOOKUP($A151&amp;"|May",Lists!$J:$L,2,FALSE),0)*IFERROR(VLOOKUP($A151&amp;"|May",Lists!$J:$L,3,FALSE),0))</f>
        <v/>
      </c>
      <c r="Y151" s="16">
        <f>IF(M151="","",M151*IFERROR(VLOOKUP($A151&amp;"|Jun",Lists!$J:$L,2,FALSE),0)*IFERROR(VLOOKUP($A151&amp;"|Jun",Lists!$J:$L,3,FALSE),0))</f>
        <v/>
      </c>
      <c r="Z151" s="16">
        <f>IF(N151="","",N151*IFERROR(VLOOKUP($A151&amp;"|Jul",Lists!$J:$L,2,FALSE),0)*IFERROR(VLOOKUP($A151&amp;"|Jul",Lists!$J:$L,3,FALSE),0))</f>
        <v/>
      </c>
      <c r="AA151" s="16">
        <f>IF(O151="","",O151*IFERROR(VLOOKUP($A151&amp;"|Aug",Lists!$J:$L,2,FALSE),0)*IFERROR(VLOOKUP($A151&amp;"|Aug",Lists!$J:$L,3,FALSE),0))</f>
        <v/>
      </c>
      <c r="AB151" s="16">
        <f>IF(P151="","",P151*IFERROR(VLOOKUP($A151&amp;"|Sep",Lists!$J:$L,2,FALSE),0)*IFERROR(VLOOKUP($A151&amp;"|Sep",Lists!$J:$L,3,FALSE),0))</f>
        <v/>
      </c>
      <c r="AC151" s="16">
        <f>IF(Q151="","",Q151*IFERROR(VLOOKUP($A151&amp;"|Oct",Lists!$J:$L,2,FALSE),0)*IFERROR(VLOOKUP($A151&amp;"|Oct",Lists!$J:$L,3,FALSE),0))</f>
        <v/>
      </c>
      <c r="AD151" s="16">
        <f>IF(R151="","",R151*IFERROR(VLOOKUP($A151&amp;"|Nov",Lists!$J:$L,2,FALSE),0)*IFERROR(VLOOKUP($A151&amp;"|Nov",Lists!$J:$L,3,FALSE),0))</f>
        <v/>
      </c>
      <c r="AE151" s="16">
        <f>IF(S151="","",S151*IFERROR(VLOOKUP($A151&amp;"|Dec",Lists!$J:$L,2,FALSE),0)*IFERROR(VLOOKUP($A151&amp;"|Dec",Lists!$J:$L,3,FALSE),0))</f>
        <v/>
      </c>
    </row>
    <row r="152">
      <c r="T152" s="19">
        <f>IF($A152="","",VLOOKUP($A152,DevRateTable,3,FALSE))</f>
        <v/>
      </c>
      <c r="U152" s="16">
        <f>IF(I152="","",I152*IFERROR(VLOOKUP($A152&amp;"|Feb",Lists!$J:$L,2,FALSE),0)*IFERROR(VLOOKUP($A152&amp;"|Feb",Lists!$J:$L,3,FALSE),0))</f>
        <v/>
      </c>
      <c r="V152" s="16">
        <f>IF(J152="","",J152*IFERROR(VLOOKUP($A152&amp;"|Mar",Lists!$J:$L,2,FALSE),0)*IFERROR(VLOOKUP($A152&amp;"|Mar",Lists!$J:$L,3,FALSE),0))</f>
        <v/>
      </c>
      <c r="W152" s="16">
        <f>IF(K152="","",K152*IFERROR(VLOOKUP($A152&amp;"|Apr",Lists!$J:$L,2,FALSE),0)*IFERROR(VLOOKUP($A152&amp;"|Apr",Lists!$J:$L,3,FALSE),0))</f>
        <v/>
      </c>
      <c r="X152" s="16">
        <f>IF(L152="","",L152*IFERROR(VLOOKUP($A152&amp;"|May",Lists!$J:$L,2,FALSE),0)*IFERROR(VLOOKUP($A152&amp;"|May",Lists!$J:$L,3,FALSE),0))</f>
        <v/>
      </c>
      <c r="Y152" s="16">
        <f>IF(M152="","",M152*IFERROR(VLOOKUP($A152&amp;"|Jun",Lists!$J:$L,2,FALSE),0)*IFERROR(VLOOKUP($A152&amp;"|Jun",Lists!$J:$L,3,FALSE),0))</f>
        <v/>
      </c>
      <c r="Z152" s="16">
        <f>IF(N152="","",N152*IFERROR(VLOOKUP($A152&amp;"|Jul",Lists!$J:$L,2,FALSE),0)*IFERROR(VLOOKUP($A152&amp;"|Jul",Lists!$J:$L,3,FALSE),0))</f>
        <v/>
      </c>
      <c r="AA152" s="16">
        <f>IF(O152="","",O152*IFERROR(VLOOKUP($A152&amp;"|Aug",Lists!$J:$L,2,FALSE),0)*IFERROR(VLOOKUP($A152&amp;"|Aug",Lists!$J:$L,3,FALSE),0))</f>
        <v/>
      </c>
      <c r="AB152" s="16">
        <f>IF(P152="","",P152*IFERROR(VLOOKUP($A152&amp;"|Sep",Lists!$J:$L,2,FALSE),0)*IFERROR(VLOOKUP($A152&amp;"|Sep",Lists!$J:$L,3,FALSE),0))</f>
        <v/>
      </c>
      <c r="AC152" s="16">
        <f>IF(Q152="","",Q152*IFERROR(VLOOKUP($A152&amp;"|Oct",Lists!$J:$L,2,FALSE),0)*IFERROR(VLOOKUP($A152&amp;"|Oct",Lists!$J:$L,3,FALSE),0))</f>
        <v/>
      </c>
      <c r="AD152" s="16">
        <f>IF(R152="","",R152*IFERROR(VLOOKUP($A152&amp;"|Nov",Lists!$J:$L,2,FALSE),0)*IFERROR(VLOOKUP($A152&amp;"|Nov",Lists!$J:$L,3,FALSE),0))</f>
        <v/>
      </c>
      <c r="AE152" s="16">
        <f>IF(S152="","",S152*IFERROR(VLOOKUP($A152&amp;"|Dec",Lists!$J:$L,2,FALSE),0)*IFERROR(VLOOKUP($A152&amp;"|Dec",Lists!$J:$L,3,FALSE),0))</f>
        <v/>
      </c>
    </row>
    <row r="153">
      <c r="T153" s="19">
        <f>IF($A153="","",VLOOKUP($A153,DevRateTable,3,FALSE))</f>
        <v/>
      </c>
      <c r="U153" s="16">
        <f>IF(I153="","",I153*IFERROR(VLOOKUP($A153&amp;"|Feb",Lists!$J:$L,2,FALSE),0)*IFERROR(VLOOKUP($A153&amp;"|Feb",Lists!$J:$L,3,FALSE),0))</f>
        <v/>
      </c>
      <c r="V153" s="16">
        <f>IF(J153="","",J153*IFERROR(VLOOKUP($A153&amp;"|Mar",Lists!$J:$L,2,FALSE),0)*IFERROR(VLOOKUP($A153&amp;"|Mar",Lists!$J:$L,3,FALSE),0))</f>
        <v/>
      </c>
      <c r="W153" s="16">
        <f>IF(K153="","",K153*IFERROR(VLOOKUP($A153&amp;"|Apr",Lists!$J:$L,2,FALSE),0)*IFERROR(VLOOKUP($A153&amp;"|Apr",Lists!$J:$L,3,FALSE),0))</f>
        <v/>
      </c>
      <c r="X153" s="16">
        <f>IF(L153="","",L153*IFERROR(VLOOKUP($A153&amp;"|May",Lists!$J:$L,2,FALSE),0)*IFERROR(VLOOKUP($A153&amp;"|May",Lists!$J:$L,3,FALSE),0))</f>
        <v/>
      </c>
      <c r="Y153" s="16">
        <f>IF(M153="","",M153*IFERROR(VLOOKUP($A153&amp;"|Jun",Lists!$J:$L,2,FALSE),0)*IFERROR(VLOOKUP($A153&amp;"|Jun",Lists!$J:$L,3,FALSE),0))</f>
        <v/>
      </c>
      <c r="Z153" s="16">
        <f>IF(N153="","",N153*IFERROR(VLOOKUP($A153&amp;"|Jul",Lists!$J:$L,2,FALSE),0)*IFERROR(VLOOKUP($A153&amp;"|Jul",Lists!$J:$L,3,FALSE),0))</f>
        <v/>
      </c>
      <c r="AA153" s="16">
        <f>IF(O153="","",O153*IFERROR(VLOOKUP($A153&amp;"|Aug",Lists!$J:$L,2,FALSE),0)*IFERROR(VLOOKUP($A153&amp;"|Aug",Lists!$J:$L,3,FALSE),0))</f>
        <v/>
      </c>
      <c r="AB153" s="16">
        <f>IF(P153="","",P153*IFERROR(VLOOKUP($A153&amp;"|Sep",Lists!$J:$L,2,FALSE),0)*IFERROR(VLOOKUP($A153&amp;"|Sep",Lists!$J:$L,3,FALSE),0))</f>
        <v/>
      </c>
      <c r="AC153" s="16">
        <f>IF(Q153="","",Q153*IFERROR(VLOOKUP($A153&amp;"|Oct",Lists!$J:$L,2,FALSE),0)*IFERROR(VLOOKUP($A153&amp;"|Oct",Lists!$J:$L,3,FALSE),0))</f>
        <v/>
      </c>
      <c r="AD153" s="16">
        <f>IF(R153="","",R153*IFERROR(VLOOKUP($A153&amp;"|Nov",Lists!$J:$L,2,FALSE),0)*IFERROR(VLOOKUP($A153&amp;"|Nov",Lists!$J:$L,3,FALSE),0))</f>
        <v/>
      </c>
      <c r="AE153" s="16">
        <f>IF(S153="","",S153*IFERROR(VLOOKUP($A153&amp;"|Dec",Lists!$J:$L,2,FALSE),0)*IFERROR(VLOOKUP($A153&amp;"|Dec",Lists!$J:$L,3,FALSE),0))</f>
        <v/>
      </c>
    </row>
    <row r="154">
      <c r="T154" s="19">
        <f>IF($A154="","",VLOOKUP($A154,DevRateTable,3,FALSE))</f>
        <v/>
      </c>
      <c r="U154" s="16">
        <f>IF(I154="","",I154*IFERROR(VLOOKUP($A154&amp;"|Feb",Lists!$J:$L,2,FALSE),0)*IFERROR(VLOOKUP($A154&amp;"|Feb",Lists!$J:$L,3,FALSE),0))</f>
        <v/>
      </c>
      <c r="V154" s="16">
        <f>IF(J154="","",J154*IFERROR(VLOOKUP($A154&amp;"|Mar",Lists!$J:$L,2,FALSE),0)*IFERROR(VLOOKUP($A154&amp;"|Mar",Lists!$J:$L,3,FALSE),0))</f>
        <v/>
      </c>
      <c r="W154" s="16">
        <f>IF(K154="","",K154*IFERROR(VLOOKUP($A154&amp;"|Apr",Lists!$J:$L,2,FALSE),0)*IFERROR(VLOOKUP($A154&amp;"|Apr",Lists!$J:$L,3,FALSE),0))</f>
        <v/>
      </c>
      <c r="X154" s="16">
        <f>IF(L154="","",L154*IFERROR(VLOOKUP($A154&amp;"|May",Lists!$J:$L,2,FALSE),0)*IFERROR(VLOOKUP($A154&amp;"|May",Lists!$J:$L,3,FALSE),0))</f>
        <v/>
      </c>
      <c r="Y154" s="16">
        <f>IF(M154="","",M154*IFERROR(VLOOKUP($A154&amp;"|Jun",Lists!$J:$L,2,FALSE),0)*IFERROR(VLOOKUP($A154&amp;"|Jun",Lists!$J:$L,3,FALSE),0))</f>
        <v/>
      </c>
      <c r="Z154" s="16">
        <f>IF(N154="","",N154*IFERROR(VLOOKUP($A154&amp;"|Jul",Lists!$J:$L,2,FALSE),0)*IFERROR(VLOOKUP($A154&amp;"|Jul",Lists!$J:$L,3,FALSE),0))</f>
        <v/>
      </c>
      <c r="AA154" s="16">
        <f>IF(O154="","",O154*IFERROR(VLOOKUP($A154&amp;"|Aug",Lists!$J:$L,2,FALSE),0)*IFERROR(VLOOKUP($A154&amp;"|Aug",Lists!$J:$L,3,FALSE),0))</f>
        <v/>
      </c>
      <c r="AB154" s="16">
        <f>IF(P154="","",P154*IFERROR(VLOOKUP($A154&amp;"|Sep",Lists!$J:$L,2,FALSE),0)*IFERROR(VLOOKUP($A154&amp;"|Sep",Lists!$J:$L,3,FALSE),0))</f>
        <v/>
      </c>
      <c r="AC154" s="16">
        <f>IF(Q154="","",Q154*IFERROR(VLOOKUP($A154&amp;"|Oct",Lists!$J:$L,2,FALSE),0)*IFERROR(VLOOKUP($A154&amp;"|Oct",Lists!$J:$L,3,FALSE),0))</f>
        <v/>
      </c>
      <c r="AD154" s="16">
        <f>IF(R154="","",R154*IFERROR(VLOOKUP($A154&amp;"|Nov",Lists!$J:$L,2,FALSE),0)*IFERROR(VLOOKUP($A154&amp;"|Nov",Lists!$J:$L,3,FALSE),0))</f>
        <v/>
      </c>
      <c r="AE154" s="16">
        <f>IF(S154="","",S154*IFERROR(VLOOKUP($A154&amp;"|Dec",Lists!$J:$L,2,FALSE),0)*IFERROR(VLOOKUP($A154&amp;"|Dec",Lists!$J:$L,3,FALSE),0))</f>
        <v/>
      </c>
    </row>
    <row r="155">
      <c r="T155" s="19">
        <f>IF($A155="","",VLOOKUP($A155,DevRateTable,3,FALSE))</f>
        <v/>
      </c>
      <c r="U155" s="16">
        <f>IF(I155="","",I155*IFERROR(VLOOKUP($A155&amp;"|Feb",Lists!$J:$L,2,FALSE),0)*IFERROR(VLOOKUP($A155&amp;"|Feb",Lists!$J:$L,3,FALSE),0))</f>
        <v/>
      </c>
      <c r="V155" s="16">
        <f>IF(J155="","",J155*IFERROR(VLOOKUP($A155&amp;"|Mar",Lists!$J:$L,2,FALSE),0)*IFERROR(VLOOKUP($A155&amp;"|Mar",Lists!$J:$L,3,FALSE),0))</f>
        <v/>
      </c>
      <c r="W155" s="16">
        <f>IF(K155="","",K155*IFERROR(VLOOKUP($A155&amp;"|Apr",Lists!$J:$L,2,FALSE),0)*IFERROR(VLOOKUP($A155&amp;"|Apr",Lists!$J:$L,3,FALSE),0))</f>
        <v/>
      </c>
      <c r="X155" s="16">
        <f>IF(L155="","",L155*IFERROR(VLOOKUP($A155&amp;"|May",Lists!$J:$L,2,FALSE),0)*IFERROR(VLOOKUP($A155&amp;"|May",Lists!$J:$L,3,FALSE),0))</f>
        <v/>
      </c>
      <c r="Y155" s="16">
        <f>IF(M155="","",M155*IFERROR(VLOOKUP($A155&amp;"|Jun",Lists!$J:$L,2,FALSE),0)*IFERROR(VLOOKUP($A155&amp;"|Jun",Lists!$J:$L,3,FALSE),0))</f>
        <v/>
      </c>
      <c r="Z155" s="16">
        <f>IF(N155="","",N155*IFERROR(VLOOKUP($A155&amp;"|Jul",Lists!$J:$L,2,FALSE),0)*IFERROR(VLOOKUP($A155&amp;"|Jul",Lists!$J:$L,3,FALSE),0))</f>
        <v/>
      </c>
      <c r="AA155" s="16">
        <f>IF(O155="","",O155*IFERROR(VLOOKUP($A155&amp;"|Aug",Lists!$J:$L,2,FALSE),0)*IFERROR(VLOOKUP($A155&amp;"|Aug",Lists!$J:$L,3,FALSE),0))</f>
        <v/>
      </c>
      <c r="AB155" s="16">
        <f>IF(P155="","",P155*IFERROR(VLOOKUP($A155&amp;"|Sep",Lists!$J:$L,2,FALSE),0)*IFERROR(VLOOKUP($A155&amp;"|Sep",Lists!$J:$L,3,FALSE),0))</f>
        <v/>
      </c>
      <c r="AC155" s="16">
        <f>IF(Q155="","",Q155*IFERROR(VLOOKUP($A155&amp;"|Oct",Lists!$J:$L,2,FALSE),0)*IFERROR(VLOOKUP($A155&amp;"|Oct",Lists!$J:$L,3,FALSE),0))</f>
        <v/>
      </c>
      <c r="AD155" s="16">
        <f>IF(R155="","",R155*IFERROR(VLOOKUP($A155&amp;"|Nov",Lists!$J:$L,2,FALSE),0)*IFERROR(VLOOKUP($A155&amp;"|Nov",Lists!$J:$L,3,FALSE),0))</f>
        <v/>
      </c>
      <c r="AE155" s="16">
        <f>IF(S155="","",S155*IFERROR(VLOOKUP($A155&amp;"|Dec",Lists!$J:$L,2,FALSE),0)*IFERROR(VLOOKUP($A155&amp;"|Dec",Lists!$J:$L,3,FALSE),0))</f>
        <v/>
      </c>
    </row>
    <row r="156">
      <c r="T156" s="19">
        <f>IF($A156="","",VLOOKUP($A156,DevRateTable,3,FALSE))</f>
        <v/>
      </c>
      <c r="U156" s="16">
        <f>IF(I156="","",I156*IFERROR(VLOOKUP($A156&amp;"|Feb",Lists!$J:$L,2,FALSE),0)*IFERROR(VLOOKUP($A156&amp;"|Feb",Lists!$J:$L,3,FALSE),0))</f>
        <v/>
      </c>
      <c r="V156" s="16">
        <f>IF(J156="","",J156*IFERROR(VLOOKUP($A156&amp;"|Mar",Lists!$J:$L,2,FALSE),0)*IFERROR(VLOOKUP($A156&amp;"|Mar",Lists!$J:$L,3,FALSE),0))</f>
        <v/>
      </c>
      <c r="W156" s="16">
        <f>IF(K156="","",K156*IFERROR(VLOOKUP($A156&amp;"|Apr",Lists!$J:$L,2,FALSE),0)*IFERROR(VLOOKUP($A156&amp;"|Apr",Lists!$J:$L,3,FALSE),0))</f>
        <v/>
      </c>
      <c r="X156" s="16">
        <f>IF(L156="","",L156*IFERROR(VLOOKUP($A156&amp;"|May",Lists!$J:$L,2,FALSE),0)*IFERROR(VLOOKUP($A156&amp;"|May",Lists!$J:$L,3,FALSE),0))</f>
        <v/>
      </c>
      <c r="Y156" s="16">
        <f>IF(M156="","",M156*IFERROR(VLOOKUP($A156&amp;"|Jun",Lists!$J:$L,2,FALSE),0)*IFERROR(VLOOKUP($A156&amp;"|Jun",Lists!$J:$L,3,FALSE),0))</f>
        <v/>
      </c>
      <c r="Z156" s="16">
        <f>IF(N156="","",N156*IFERROR(VLOOKUP($A156&amp;"|Jul",Lists!$J:$L,2,FALSE),0)*IFERROR(VLOOKUP($A156&amp;"|Jul",Lists!$J:$L,3,FALSE),0))</f>
        <v/>
      </c>
      <c r="AA156" s="16">
        <f>IF(O156="","",O156*IFERROR(VLOOKUP($A156&amp;"|Aug",Lists!$J:$L,2,FALSE),0)*IFERROR(VLOOKUP($A156&amp;"|Aug",Lists!$J:$L,3,FALSE),0))</f>
        <v/>
      </c>
      <c r="AB156" s="16">
        <f>IF(P156="","",P156*IFERROR(VLOOKUP($A156&amp;"|Sep",Lists!$J:$L,2,FALSE),0)*IFERROR(VLOOKUP($A156&amp;"|Sep",Lists!$J:$L,3,FALSE),0))</f>
        <v/>
      </c>
      <c r="AC156" s="16">
        <f>IF(Q156="","",Q156*IFERROR(VLOOKUP($A156&amp;"|Oct",Lists!$J:$L,2,FALSE),0)*IFERROR(VLOOKUP($A156&amp;"|Oct",Lists!$J:$L,3,FALSE),0))</f>
        <v/>
      </c>
      <c r="AD156" s="16">
        <f>IF(R156="","",R156*IFERROR(VLOOKUP($A156&amp;"|Nov",Lists!$J:$L,2,FALSE),0)*IFERROR(VLOOKUP($A156&amp;"|Nov",Lists!$J:$L,3,FALSE),0))</f>
        <v/>
      </c>
      <c r="AE156" s="16">
        <f>IF(S156="","",S156*IFERROR(VLOOKUP($A156&amp;"|Dec",Lists!$J:$L,2,FALSE),0)*IFERROR(VLOOKUP($A156&amp;"|Dec",Lists!$J:$L,3,FALSE),0))</f>
        <v/>
      </c>
    </row>
    <row r="157">
      <c r="T157" s="19">
        <f>IF($A157="","",VLOOKUP($A157,DevRateTable,3,FALSE))</f>
        <v/>
      </c>
      <c r="U157" s="16">
        <f>IF(I157="","",I157*IFERROR(VLOOKUP($A157&amp;"|Feb",Lists!$J:$L,2,FALSE),0)*IFERROR(VLOOKUP($A157&amp;"|Feb",Lists!$J:$L,3,FALSE),0))</f>
        <v/>
      </c>
      <c r="V157" s="16">
        <f>IF(J157="","",J157*IFERROR(VLOOKUP($A157&amp;"|Mar",Lists!$J:$L,2,FALSE),0)*IFERROR(VLOOKUP($A157&amp;"|Mar",Lists!$J:$L,3,FALSE),0))</f>
        <v/>
      </c>
      <c r="W157" s="16">
        <f>IF(K157="","",K157*IFERROR(VLOOKUP($A157&amp;"|Apr",Lists!$J:$L,2,FALSE),0)*IFERROR(VLOOKUP($A157&amp;"|Apr",Lists!$J:$L,3,FALSE),0))</f>
        <v/>
      </c>
      <c r="X157" s="16">
        <f>IF(L157="","",L157*IFERROR(VLOOKUP($A157&amp;"|May",Lists!$J:$L,2,FALSE),0)*IFERROR(VLOOKUP($A157&amp;"|May",Lists!$J:$L,3,FALSE),0))</f>
        <v/>
      </c>
      <c r="Y157" s="16">
        <f>IF(M157="","",M157*IFERROR(VLOOKUP($A157&amp;"|Jun",Lists!$J:$L,2,FALSE),0)*IFERROR(VLOOKUP($A157&amp;"|Jun",Lists!$J:$L,3,FALSE),0))</f>
        <v/>
      </c>
      <c r="Z157" s="16">
        <f>IF(N157="","",N157*IFERROR(VLOOKUP($A157&amp;"|Jul",Lists!$J:$L,2,FALSE),0)*IFERROR(VLOOKUP($A157&amp;"|Jul",Lists!$J:$L,3,FALSE),0))</f>
        <v/>
      </c>
      <c r="AA157" s="16">
        <f>IF(O157="","",O157*IFERROR(VLOOKUP($A157&amp;"|Aug",Lists!$J:$L,2,FALSE),0)*IFERROR(VLOOKUP($A157&amp;"|Aug",Lists!$J:$L,3,FALSE),0))</f>
        <v/>
      </c>
      <c r="AB157" s="16">
        <f>IF(P157="","",P157*IFERROR(VLOOKUP($A157&amp;"|Sep",Lists!$J:$L,2,FALSE),0)*IFERROR(VLOOKUP($A157&amp;"|Sep",Lists!$J:$L,3,FALSE),0))</f>
        <v/>
      </c>
      <c r="AC157" s="16">
        <f>IF(Q157="","",Q157*IFERROR(VLOOKUP($A157&amp;"|Oct",Lists!$J:$L,2,FALSE),0)*IFERROR(VLOOKUP($A157&amp;"|Oct",Lists!$J:$L,3,FALSE),0))</f>
        <v/>
      </c>
      <c r="AD157" s="16">
        <f>IF(R157="","",R157*IFERROR(VLOOKUP($A157&amp;"|Nov",Lists!$J:$L,2,FALSE),0)*IFERROR(VLOOKUP($A157&amp;"|Nov",Lists!$J:$L,3,FALSE),0))</f>
        <v/>
      </c>
      <c r="AE157" s="16">
        <f>IF(S157="","",S157*IFERROR(VLOOKUP($A157&amp;"|Dec",Lists!$J:$L,2,FALSE),0)*IFERROR(VLOOKUP($A157&amp;"|Dec",Lists!$J:$L,3,FALSE),0))</f>
        <v/>
      </c>
    </row>
    <row r="158">
      <c r="T158" s="19">
        <f>IF($A158="","",VLOOKUP($A158,DevRateTable,3,FALSE))</f>
        <v/>
      </c>
      <c r="U158" s="16">
        <f>IF(I158="","",I158*IFERROR(VLOOKUP($A158&amp;"|Feb",Lists!$J:$L,2,FALSE),0)*IFERROR(VLOOKUP($A158&amp;"|Feb",Lists!$J:$L,3,FALSE),0))</f>
        <v/>
      </c>
      <c r="V158" s="16">
        <f>IF(J158="","",J158*IFERROR(VLOOKUP($A158&amp;"|Mar",Lists!$J:$L,2,FALSE),0)*IFERROR(VLOOKUP($A158&amp;"|Mar",Lists!$J:$L,3,FALSE),0))</f>
        <v/>
      </c>
      <c r="W158" s="16">
        <f>IF(K158="","",K158*IFERROR(VLOOKUP($A158&amp;"|Apr",Lists!$J:$L,2,FALSE),0)*IFERROR(VLOOKUP($A158&amp;"|Apr",Lists!$J:$L,3,FALSE),0))</f>
        <v/>
      </c>
      <c r="X158" s="16">
        <f>IF(L158="","",L158*IFERROR(VLOOKUP($A158&amp;"|May",Lists!$J:$L,2,FALSE),0)*IFERROR(VLOOKUP($A158&amp;"|May",Lists!$J:$L,3,FALSE),0))</f>
        <v/>
      </c>
      <c r="Y158" s="16">
        <f>IF(M158="","",M158*IFERROR(VLOOKUP($A158&amp;"|Jun",Lists!$J:$L,2,FALSE),0)*IFERROR(VLOOKUP($A158&amp;"|Jun",Lists!$J:$L,3,FALSE),0))</f>
        <v/>
      </c>
      <c r="Z158" s="16">
        <f>IF(N158="","",N158*IFERROR(VLOOKUP($A158&amp;"|Jul",Lists!$J:$L,2,FALSE),0)*IFERROR(VLOOKUP($A158&amp;"|Jul",Lists!$J:$L,3,FALSE),0))</f>
        <v/>
      </c>
      <c r="AA158" s="16">
        <f>IF(O158="","",O158*IFERROR(VLOOKUP($A158&amp;"|Aug",Lists!$J:$L,2,FALSE),0)*IFERROR(VLOOKUP($A158&amp;"|Aug",Lists!$J:$L,3,FALSE),0))</f>
        <v/>
      </c>
      <c r="AB158" s="16">
        <f>IF(P158="","",P158*IFERROR(VLOOKUP($A158&amp;"|Sep",Lists!$J:$L,2,FALSE),0)*IFERROR(VLOOKUP($A158&amp;"|Sep",Lists!$J:$L,3,FALSE),0))</f>
        <v/>
      </c>
      <c r="AC158" s="16">
        <f>IF(Q158="","",Q158*IFERROR(VLOOKUP($A158&amp;"|Oct",Lists!$J:$L,2,FALSE),0)*IFERROR(VLOOKUP($A158&amp;"|Oct",Lists!$J:$L,3,FALSE),0))</f>
        <v/>
      </c>
      <c r="AD158" s="16">
        <f>IF(R158="","",R158*IFERROR(VLOOKUP($A158&amp;"|Nov",Lists!$J:$L,2,FALSE),0)*IFERROR(VLOOKUP($A158&amp;"|Nov",Lists!$J:$L,3,FALSE),0))</f>
        <v/>
      </c>
      <c r="AE158" s="16">
        <f>IF(S158="","",S158*IFERROR(VLOOKUP($A158&amp;"|Dec",Lists!$J:$L,2,FALSE),0)*IFERROR(VLOOKUP($A158&amp;"|Dec",Lists!$J:$L,3,FALSE),0))</f>
        <v/>
      </c>
    </row>
    <row r="159">
      <c r="T159" s="19">
        <f>IF($A159="","",VLOOKUP($A159,DevRateTable,3,FALSE))</f>
        <v/>
      </c>
      <c r="U159" s="16">
        <f>IF(I159="","",I159*IFERROR(VLOOKUP($A159&amp;"|Feb",Lists!$J:$L,2,FALSE),0)*IFERROR(VLOOKUP($A159&amp;"|Feb",Lists!$J:$L,3,FALSE),0))</f>
        <v/>
      </c>
      <c r="V159" s="16">
        <f>IF(J159="","",J159*IFERROR(VLOOKUP($A159&amp;"|Mar",Lists!$J:$L,2,FALSE),0)*IFERROR(VLOOKUP($A159&amp;"|Mar",Lists!$J:$L,3,FALSE),0))</f>
        <v/>
      </c>
      <c r="W159" s="16">
        <f>IF(K159="","",K159*IFERROR(VLOOKUP($A159&amp;"|Apr",Lists!$J:$L,2,FALSE),0)*IFERROR(VLOOKUP($A159&amp;"|Apr",Lists!$J:$L,3,FALSE),0))</f>
        <v/>
      </c>
      <c r="X159" s="16">
        <f>IF(L159="","",L159*IFERROR(VLOOKUP($A159&amp;"|May",Lists!$J:$L,2,FALSE),0)*IFERROR(VLOOKUP($A159&amp;"|May",Lists!$J:$L,3,FALSE),0))</f>
        <v/>
      </c>
      <c r="Y159" s="16">
        <f>IF(M159="","",M159*IFERROR(VLOOKUP($A159&amp;"|Jun",Lists!$J:$L,2,FALSE),0)*IFERROR(VLOOKUP($A159&amp;"|Jun",Lists!$J:$L,3,FALSE),0))</f>
        <v/>
      </c>
      <c r="Z159" s="16">
        <f>IF(N159="","",N159*IFERROR(VLOOKUP($A159&amp;"|Jul",Lists!$J:$L,2,FALSE),0)*IFERROR(VLOOKUP($A159&amp;"|Jul",Lists!$J:$L,3,FALSE),0))</f>
        <v/>
      </c>
      <c r="AA159" s="16">
        <f>IF(O159="","",O159*IFERROR(VLOOKUP($A159&amp;"|Aug",Lists!$J:$L,2,FALSE),0)*IFERROR(VLOOKUP($A159&amp;"|Aug",Lists!$J:$L,3,FALSE),0))</f>
        <v/>
      </c>
      <c r="AB159" s="16">
        <f>IF(P159="","",P159*IFERROR(VLOOKUP($A159&amp;"|Sep",Lists!$J:$L,2,FALSE),0)*IFERROR(VLOOKUP($A159&amp;"|Sep",Lists!$J:$L,3,FALSE),0))</f>
        <v/>
      </c>
      <c r="AC159" s="16">
        <f>IF(Q159="","",Q159*IFERROR(VLOOKUP($A159&amp;"|Oct",Lists!$J:$L,2,FALSE),0)*IFERROR(VLOOKUP($A159&amp;"|Oct",Lists!$J:$L,3,FALSE),0))</f>
        <v/>
      </c>
      <c r="AD159" s="16">
        <f>IF(R159="","",R159*IFERROR(VLOOKUP($A159&amp;"|Nov",Lists!$J:$L,2,FALSE),0)*IFERROR(VLOOKUP($A159&amp;"|Nov",Lists!$J:$L,3,FALSE),0))</f>
        <v/>
      </c>
      <c r="AE159" s="16">
        <f>IF(S159="","",S159*IFERROR(VLOOKUP($A159&amp;"|Dec",Lists!$J:$L,2,FALSE),0)*IFERROR(VLOOKUP($A159&amp;"|Dec",Lists!$J:$L,3,FALSE),0))</f>
        <v/>
      </c>
    </row>
    <row r="160">
      <c r="T160" s="19">
        <f>IF($A160="","",VLOOKUP($A160,DevRateTable,3,FALSE))</f>
        <v/>
      </c>
      <c r="U160" s="16">
        <f>IF(I160="","",I160*IFERROR(VLOOKUP($A160&amp;"|Feb",Lists!$J:$L,2,FALSE),0)*IFERROR(VLOOKUP($A160&amp;"|Feb",Lists!$J:$L,3,FALSE),0))</f>
        <v/>
      </c>
      <c r="V160" s="16">
        <f>IF(J160="","",J160*IFERROR(VLOOKUP($A160&amp;"|Mar",Lists!$J:$L,2,FALSE),0)*IFERROR(VLOOKUP($A160&amp;"|Mar",Lists!$J:$L,3,FALSE),0))</f>
        <v/>
      </c>
      <c r="W160" s="16">
        <f>IF(K160="","",K160*IFERROR(VLOOKUP($A160&amp;"|Apr",Lists!$J:$L,2,FALSE),0)*IFERROR(VLOOKUP($A160&amp;"|Apr",Lists!$J:$L,3,FALSE),0))</f>
        <v/>
      </c>
      <c r="X160" s="16">
        <f>IF(L160="","",L160*IFERROR(VLOOKUP($A160&amp;"|May",Lists!$J:$L,2,FALSE),0)*IFERROR(VLOOKUP($A160&amp;"|May",Lists!$J:$L,3,FALSE),0))</f>
        <v/>
      </c>
      <c r="Y160" s="16">
        <f>IF(M160="","",M160*IFERROR(VLOOKUP($A160&amp;"|Jun",Lists!$J:$L,2,FALSE),0)*IFERROR(VLOOKUP($A160&amp;"|Jun",Lists!$J:$L,3,FALSE),0))</f>
        <v/>
      </c>
      <c r="Z160" s="16">
        <f>IF(N160="","",N160*IFERROR(VLOOKUP($A160&amp;"|Jul",Lists!$J:$L,2,FALSE),0)*IFERROR(VLOOKUP($A160&amp;"|Jul",Lists!$J:$L,3,FALSE),0))</f>
        <v/>
      </c>
      <c r="AA160" s="16">
        <f>IF(O160="","",O160*IFERROR(VLOOKUP($A160&amp;"|Aug",Lists!$J:$L,2,FALSE),0)*IFERROR(VLOOKUP($A160&amp;"|Aug",Lists!$J:$L,3,FALSE),0))</f>
        <v/>
      </c>
      <c r="AB160" s="16">
        <f>IF(P160="","",P160*IFERROR(VLOOKUP($A160&amp;"|Sep",Lists!$J:$L,2,FALSE),0)*IFERROR(VLOOKUP($A160&amp;"|Sep",Lists!$J:$L,3,FALSE),0))</f>
        <v/>
      </c>
      <c r="AC160" s="16">
        <f>IF(Q160="","",Q160*IFERROR(VLOOKUP($A160&amp;"|Oct",Lists!$J:$L,2,FALSE),0)*IFERROR(VLOOKUP($A160&amp;"|Oct",Lists!$J:$L,3,FALSE),0))</f>
        <v/>
      </c>
      <c r="AD160" s="16">
        <f>IF(R160="","",R160*IFERROR(VLOOKUP($A160&amp;"|Nov",Lists!$J:$L,2,FALSE),0)*IFERROR(VLOOKUP($A160&amp;"|Nov",Lists!$J:$L,3,FALSE),0))</f>
        <v/>
      </c>
      <c r="AE160" s="16">
        <f>IF(S160="","",S160*IFERROR(VLOOKUP($A160&amp;"|Dec",Lists!$J:$L,2,FALSE),0)*IFERROR(VLOOKUP($A160&amp;"|Dec",Lists!$J:$L,3,FALSE),0))</f>
        <v/>
      </c>
    </row>
    <row r="161">
      <c r="T161" s="19">
        <f>IF($A161="","",VLOOKUP($A161,DevRateTable,3,FALSE))</f>
        <v/>
      </c>
      <c r="U161" s="16">
        <f>IF(I161="","",I161*IFERROR(VLOOKUP($A161&amp;"|Feb",Lists!$J:$L,2,FALSE),0)*IFERROR(VLOOKUP($A161&amp;"|Feb",Lists!$J:$L,3,FALSE),0))</f>
        <v/>
      </c>
      <c r="V161" s="16">
        <f>IF(J161="","",J161*IFERROR(VLOOKUP($A161&amp;"|Mar",Lists!$J:$L,2,FALSE),0)*IFERROR(VLOOKUP($A161&amp;"|Mar",Lists!$J:$L,3,FALSE),0))</f>
        <v/>
      </c>
      <c r="W161" s="16">
        <f>IF(K161="","",K161*IFERROR(VLOOKUP($A161&amp;"|Apr",Lists!$J:$L,2,FALSE),0)*IFERROR(VLOOKUP($A161&amp;"|Apr",Lists!$J:$L,3,FALSE),0))</f>
        <v/>
      </c>
      <c r="X161" s="16">
        <f>IF(L161="","",L161*IFERROR(VLOOKUP($A161&amp;"|May",Lists!$J:$L,2,FALSE),0)*IFERROR(VLOOKUP($A161&amp;"|May",Lists!$J:$L,3,FALSE),0))</f>
        <v/>
      </c>
      <c r="Y161" s="16">
        <f>IF(M161="","",M161*IFERROR(VLOOKUP($A161&amp;"|Jun",Lists!$J:$L,2,FALSE),0)*IFERROR(VLOOKUP($A161&amp;"|Jun",Lists!$J:$L,3,FALSE),0))</f>
        <v/>
      </c>
      <c r="Z161" s="16">
        <f>IF(N161="","",N161*IFERROR(VLOOKUP($A161&amp;"|Jul",Lists!$J:$L,2,FALSE),0)*IFERROR(VLOOKUP($A161&amp;"|Jul",Lists!$J:$L,3,FALSE),0))</f>
        <v/>
      </c>
      <c r="AA161" s="16">
        <f>IF(O161="","",O161*IFERROR(VLOOKUP($A161&amp;"|Aug",Lists!$J:$L,2,FALSE),0)*IFERROR(VLOOKUP($A161&amp;"|Aug",Lists!$J:$L,3,FALSE),0))</f>
        <v/>
      </c>
      <c r="AB161" s="16">
        <f>IF(P161="","",P161*IFERROR(VLOOKUP($A161&amp;"|Sep",Lists!$J:$L,2,FALSE),0)*IFERROR(VLOOKUP($A161&amp;"|Sep",Lists!$J:$L,3,FALSE),0))</f>
        <v/>
      </c>
      <c r="AC161" s="16">
        <f>IF(Q161="","",Q161*IFERROR(VLOOKUP($A161&amp;"|Oct",Lists!$J:$L,2,FALSE),0)*IFERROR(VLOOKUP($A161&amp;"|Oct",Lists!$J:$L,3,FALSE),0))</f>
        <v/>
      </c>
      <c r="AD161" s="16">
        <f>IF(R161="","",R161*IFERROR(VLOOKUP($A161&amp;"|Nov",Lists!$J:$L,2,FALSE),0)*IFERROR(VLOOKUP($A161&amp;"|Nov",Lists!$J:$L,3,FALSE),0))</f>
        <v/>
      </c>
      <c r="AE161" s="16">
        <f>IF(S161="","",S161*IFERROR(VLOOKUP($A161&amp;"|Dec",Lists!$J:$L,2,FALSE),0)*IFERROR(VLOOKUP($A161&amp;"|Dec",Lists!$J:$L,3,FALSE),0))</f>
        <v/>
      </c>
    </row>
    <row r="162">
      <c r="T162" s="19">
        <f>IF($A162="","",VLOOKUP($A162,DevRateTable,3,FALSE))</f>
        <v/>
      </c>
      <c r="U162" s="16">
        <f>IF(I162="","",I162*IFERROR(VLOOKUP($A162&amp;"|Feb",Lists!$J:$L,2,FALSE),0)*IFERROR(VLOOKUP($A162&amp;"|Feb",Lists!$J:$L,3,FALSE),0))</f>
        <v/>
      </c>
      <c r="V162" s="16">
        <f>IF(J162="","",J162*IFERROR(VLOOKUP($A162&amp;"|Mar",Lists!$J:$L,2,FALSE),0)*IFERROR(VLOOKUP($A162&amp;"|Mar",Lists!$J:$L,3,FALSE),0))</f>
        <v/>
      </c>
      <c r="W162" s="16">
        <f>IF(K162="","",K162*IFERROR(VLOOKUP($A162&amp;"|Apr",Lists!$J:$L,2,FALSE),0)*IFERROR(VLOOKUP($A162&amp;"|Apr",Lists!$J:$L,3,FALSE),0))</f>
        <v/>
      </c>
      <c r="X162" s="16">
        <f>IF(L162="","",L162*IFERROR(VLOOKUP($A162&amp;"|May",Lists!$J:$L,2,FALSE),0)*IFERROR(VLOOKUP($A162&amp;"|May",Lists!$J:$L,3,FALSE),0))</f>
        <v/>
      </c>
      <c r="Y162" s="16">
        <f>IF(M162="","",M162*IFERROR(VLOOKUP($A162&amp;"|Jun",Lists!$J:$L,2,FALSE),0)*IFERROR(VLOOKUP($A162&amp;"|Jun",Lists!$J:$L,3,FALSE),0))</f>
        <v/>
      </c>
      <c r="Z162" s="16">
        <f>IF(N162="","",N162*IFERROR(VLOOKUP($A162&amp;"|Jul",Lists!$J:$L,2,FALSE),0)*IFERROR(VLOOKUP($A162&amp;"|Jul",Lists!$J:$L,3,FALSE),0))</f>
        <v/>
      </c>
      <c r="AA162" s="16">
        <f>IF(O162="","",O162*IFERROR(VLOOKUP($A162&amp;"|Aug",Lists!$J:$L,2,FALSE),0)*IFERROR(VLOOKUP($A162&amp;"|Aug",Lists!$J:$L,3,FALSE),0))</f>
        <v/>
      </c>
      <c r="AB162" s="16">
        <f>IF(P162="","",P162*IFERROR(VLOOKUP($A162&amp;"|Sep",Lists!$J:$L,2,FALSE),0)*IFERROR(VLOOKUP($A162&amp;"|Sep",Lists!$J:$L,3,FALSE),0))</f>
        <v/>
      </c>
      <c r="AC162" s="16">
        <f>IF(Q162="","",Q162*IFERROR(VLOOKUP($A162&amp;"|Oct",Lists!$J:$L,2,FALSE),0)*IFERROR(VLOOKUP($A162&amp;"|Oct",Lists!$J:$L,3,FALSE),0))</f>
        <v/>
      </c>
      <c r="AD162" s="16">
        <f>IF(R162="","",R162*IFERROR(VLOOKUP($A162&amp;"|Nov",Lists!$J:$L,2,FALSE),0)*IFERROR(VLOOKUP($A162&amp;"|Nov",Lists!$J:$L,3,FALSE),0))</f>
        <v/>
      </c>
      <c r="AE162" s="16">
        <f>IF(S162="","",S162*IFERROR(VLOOKUP($A162&amp;"|Dec",Lists!$J:$L,2,FALSE),0)*IFERROR(VLOOKUP($A162&amp;"|Dec",Lists!$J:$L,3,FALSE),0))</f>
        <v/>
      </c>
    </row>
    <row r="163">
      <c r="T163" s="19">
        <f>IF($A163="","",VLOOKUP($A163,DevRateTable,3,FALSE))</f>
        <v/>
      </c>
      <c r="U163" s="16">
        <f>IF(I163="","",I163*IFERROR(VLOOKUP($A163&amp;"|Feb",Lists!$J:$L,2,FALSE),0)*IFERROR(VLOOKUP($A163&amp;"|Feb",Lists!$J:$L,3,FALSE),0))</f>
        <v/>
      </c>
      <c r="V163" s="16">
        <f>IF(J163="","",J163*IFERROR(VLOOKUP($A163&amp;"|Mar",Lists!$J:$L,2,FALSE),0)*IFERROR(VLOOKUP($A163&amp;"|Mar",Lists!$J:$L,3,FALSE),0))</f>
        <v/>
      </c>
      <c r="W163" s="16">
        <f>IF(K163="","",K163*IFERROR(VLOOKUP($A163&amp;"|Apr",Lists!$J:$L,2,FALSE),0)*IFERROR(VLOOKUP($A163&amp;"|Apr",Lists!$J:$L,3,FALSE),0))</f>
        <v/>
      </c>
      <c r="X163" s="16">
        <f>IF(L163="","",L163*IFERROR(VLOOKUP($A163&amp;"|May",Lists!$J:$L,2,FALSE),0)*IFERROR(VLOOKUP($A163&amp;"|May",Lists!$J:$L,3,FALSE),0))</f>
        <v/>
      </c>
      <c r="Y163" s="16">
        <f>IF(M163="","",M163*IFERROR(VLOOKUP($A163&amp;"|Jun",Lists!$J:$L,2,FALSE),0)*IFERROR(VLOOKUP($A163&amp;"|Jun",Lists!$J:$L,3,FALSE),0))</f>
        <v/>
      </c>
      <c r="Z163" s="16">
        <f>IF(N163="","",N163*IFERROR(VLOOKUP($A163&amp;"|Jul",Lists!$J:$L,2,FALSE),0)*IFERROR(VLOOKUP($A163&amp;"|Jul",Lists!$J:$L,3,FALSE),0))</f>
        <v/>
      </c>
      <c r="AA163" s="16">
        <f>IF(O163="","",O163*IFERROR(VLOOKUP($A163&amp;"|Aug",Lists!$J:$L,2,FALSE),0)*IFERROR(VLOOKUP($A163&amp;"|Aug",Lists!$J:$L,3,FALSE),0))</f>
        <v/>
      </c>
      <c r="AB163" s="16">
        <f>IF(P163="","",P163*IFERROR(VLOOKUP($A163&amp;"|Sep",Lists!$J:$L,2,FALSE),0)*IFERROR(VLOOKUP($A163&amp;"|Sep",Lists!$J:$L,3,FALSE),0))</f>
        <v/>
      </c>
      <c r="AC163" s="16">
        <f>IF(Q163="","",Q163*IFERROR(VLOOKUP($A163&amp;"|Oct",Lists!$J:$L,2,FALSE),0)*IFERROR(VLOOKUP($A163&amp;"|Oct",Lists!$J:$L,3,FALSE),0))</f>
        <v/>
      </c>
      <c r="AD163" s="16">
        <f>IF(R163="","",R163*IFERROR(VLOOKUP($A163&amp;"|Nov",Lists!$J:$L,2,FALSE),0)*IFERROR(VLOOKUP($A163&amp;"|Nov",Lists!$J:$L,3,FALSE),0))</f>
        <v/>
      </c>
      <c r="AE163" s="16">
        <f>IF(S163="","",S163*IFERROR(VLOOKUP($A163&amp;"|Dec",Lists!$J:$L,2,FALSE),0)*IFERROR(VLOOKUP($A163&amp;"|Dec",Lists!$J:$L,3,FALSE),0))</f>
        <v/>
      </c>
    </row>
    <row r="164">
      <c r="T164" s="19">
        <f>IF($A164="","",VLOOKUP($A164,DevRateTable,3,FALSE))</f>
        <v/>
      </c>
      <c r="U164" s="16">
        <f>IF(I164="","",I164*IFERROR(VLOOKUP($A164&amp;"|Feb",Lists!$J:$L,2,FALSE),0)*IFERROR(VLOOKUP($A164&amp;"|Feb",Lists!$J:$L,3,FALSE),0))</f>
        <v/>
      </c>
      <c r="V164" s="16">
        <f>IF(J164="","",J164*IFERROR(VLOOKUP($A164&amp;"|Mar",Lists!$J:$L,2,FALSE),0)*IFERROR(VLOOKUP($A164&amp;"|Mar",Lists!$J:$L,3,FALSE),0))</f>
        <v/>
      </c>
      <c r="W164" s="16">
        <f>IF(K164="","",K164*IFERROR(VLOOKUP($A164&amp;"|Apr",Lists!$J:$L,2,FALSE),0)*IFERROR(VLOOKUP($A164&amp;"|Apr",Lists!$J:$L,3,FALSE),0))</f>
        <v/>
      </c>
      <c r="X164" s="16">
        <f>IF(L164="","",L164*IFERROR(VLOOKUP($A164&amp;"|May",Lists!$J:$L,2,FALSE),0)*IFERROR(VLOOKUP($A164&amp;"|May",Lists!$J:$L,3,FALSE),0))</f>
        <v/>
      </c>
      <c r="Y164" s="16">
        <f>IF(M164="","",M164*IFERROR(VLOOKUP($A164&amp;"|Jun",Lists!$J:$L,2,FALSE),0)*IFERROR(VLOOKUP($A164&amp;"|Jun",Lists!$J:$L,3,FALSE),0))</f>
        <v/>
      </c>
      <c r="Z164" s="16">
        <f>IF(N164="","",N164*IFERROR(VLOOKUP($A164&amp;"|Jul",Lists!$J:$L,2,FALSE),0)*IFERROR(VLOOKUP($A164&amp;"|Jul",Lists!$J:$L,3,FALSE),0))</f>
        <v/>
      </c>
      <c r="AA164" s="16">
        <f>IF(O164="","",O164*IFERROR(VLOOKUP($A164&amp;"|Aug",Lists!$J:$L,2,FALSE),0)*IFERROR(VLOOKUP($A164&amp;"|Aug",Lists!$J:$L,3,FALSE),0))</f>
        <v/>
      </c>
      <c r="AB164" s="16">
        <f>IF(P164="","",P164*IFERROR(VLOOKUP($A164&amp;"|Sep",Lists!$J:$L,2,FALSE),0)*IFERROR(VLOOKUP($A164&amp;"|Sep",Lists!$J:$L,3,FALSE),0))</f>
        <v/>
      </c>
      <c r="AC164" s="16">
        <f>IF(Q164="","",Q164*IFERROR(VLOOKUP($A164&amp;"|Oct",Lists!$J:$L,2,FALSE),0)*IFERROR(VLOOKUP($A164&amp;"|Oct",Lists!$J:$L,3,FALSE),0))</f>
        <v/>
      </c>
      <c r="AD164" s="16">
        <f>IF(R164="","",R164*IFERROR(VLOOKUP($A164&amp;"|Nov",Lists!$J:$L,2,FALSE),0)*IFERROR(VLOOKUP($A164&amp;"|Nov",Lists!$J:$L,3,FALSE),0))</f>
        <v/>
      </c>
      <c r="AE164" s="16">
        <f>IF(S164="","",S164*IFERROR(VLOOKUP($A164&amp;"|Dec",Lists!$J:$L,2,FALSE),0)*IFERROR(VLOOKUP($A164&amp;"|Dec",Lists!$J:$L,3,FALSE),0))</f>
        <v/>
      </c>
    </row>
    <row r="165">
      <c r="T165" s="19">
        <f>IF($A165="","",VLOOKUP($A165,DevRateTable,3,FALSE))</f>
        <v/>
      </c>
      <c r="U165" s="16">
        <f>IF(I165="","",I165*IFERROR(VLOOKUP($A165&amp;"|Feb",Lists!$J:$L,2,FALSE),0)*IFERROR(VLOOKUP($A165&amp;"|Feb",Lists!$J:$L,3,FALSE),0))</f>
        <v/>
      </c>
      <c r="V165" s="16">
        <f>IF(J165="","",J165*IFERROR(VLOOKUP($A165&amp;"|Mar",Lists!$J:$L,2,FALSE),0)*IFERROR(VLOOKUP($A165&amp;"|Mar",Lists!$J:$L,3,FALSE),0))</f>
        <v/>
      </c>
      <c r="W165" s="16">
        <f>IF(K165="","",K165*IFERROR(VLOOKUP($A165&amp;"|Apr",Lists!$J:$L,2,FALSE),0)*IFERROR(VLOOKUP($A165&amp;"|Apr",Lists!$J:$L,3,FALSE),0))</f>
        <v/>
      </c>
      <c r="X165" s="16">
        <f>IF(L165="","",L165*IFERROR(VLOOKUP($A165&amp;"|May",Lists!$J:$L,2,FALSE),0)*IFERROR(VLOOKUP($A165&amp;"|May",Lists!$J:$L,3,FALSE),0))</f>
        <v/>
      </c>
      <c r="Y165" s="16">
        <f>IF(M165="","",M165*IFERROR(VLOOKUP($A165&amp;"|Jun",Lists!$J:$L,2,FALSE),0)*IFERROR(VLOOKUP($A165&amp;"|Jun",Lists!$J:$L,3,FALSE),0))</f>
        <v/>
      </c>
      <c r="Z165" s="16">
        <f>IF(N165="","",N165*IFERROR(VLOOKUP($A165&amp;"|Jul",Lists!$J:$L,2,FALSE),0)*IFERROR(VLOOKUP($A165&amp;"|Jul",Lists!$J:$L,3,FALSE),0))</f>
        <v/>
      </c>
      <c r="AA165" s="16">
        <f>IF(O165="","",O165*IFERROR(VLOOKUP($A165&amp;"|Aug",Lists!$J:$L,2,FALSE),0)*IFERROR(VLOOKUP($A165&amp;"|Aug",Lists!$J:$L,3,FALSE),0))</f>
        <v/>
      </c>
      <c r="AB165" s="16">
        <f>IF(P165="","",P165*IFERROR(VLOOKUP($A165&amp;"|Sep",Lists!$J:$L,2,FALSE),0)*IFERROR(VLOOKUP($A165&amp;"|Sep",Lists!$J:$L,3,FALSE),0))</f>
        <v/>
      </c>
      <c r="AC165" s="16">
        <f>IF(Q165="","",Q165*IFERROR(VLOOKUP($A165&amp;"|Oct",Lists!$J:$L,2,FALSE),0)*IFERROR(VLOOKUP($A165&amp;"|Oct",Lists!$J:$L,3,FALSE),0))</f>
        <v/>
      </c>
      <c r="AD165" s="16">
        <f>IF(R165="","",R165*IFERROR(VLOOKUP($A165&amp;"|Nov",Lists!$J:$L,2,FALSE),0)*IFERROR(VLOOKUP($A165&amp;"|Nov",Lists!$J:$L,3,FALSE),0))</f>
        <v/>
      </c>
      <c r="AE165" s="16">
        <f>IF(S165="","",S165*IFERROR(VLOOKUP($A165&amp;"|Dec",Lists!$J:$L,2,FALSE),0)*IFERROR(VLOOKUP($A165&amp;"|Dec",Lists!$J:$L,3,FALSE),0))</f>
        <v/>
      </c>
    </row>
    <row r="166">
      <c r="T166" s="19">
        <f>IF($A166="","",VLOOKUP($A166,DevRateTable,3,FALSE))</f>
        <v/>
      </c>
      <c r="U166" s="16">
        <f>IF(I166="","",I166*IFERROR(VLOOKUP($A166&amp;"|Feb",Lists!$J:$L,2,FALSE),0)*IFERROR(VLOOKUP($A166&amp;"|Feb",Lists!$J:$L,3,FALSE),0))</f>
        <v/>
      </c>
      <c r="V166" s="16">
        <f>IF(J166="","",J166*IFERROR(VLOOKUP($A166&amp;"|Mar",Lists!$J:$L,2,FALSE),0)*IFERROR(VLOOKUP($A166&amp;"|Mar",Lists!$J:$L,3,FALSE),0))</f>
        <v/>
      </c>
      <c r="W166" s="16">
        <f>IF(K166="","",K166*IFERROR(VLOOKUP($A166&amp;"|Apr",Lists!$J:$L,2,FALSE),0)*IFERROR(VLOOKUP($A166&amp;"|Apr",Lists!$J:$L,3,FALSE),0))</f>
        <v/>
      </c>
      <c r="X166" s="16">
        <f>IF(L166="","",L166*IFERROR(VLOOKUP($A166&amp;"|May",Lists!$J:$L,2,FALSE),0)*IFERROR(VLOOKUP($A166&amp;"|May",Lists!$J:$L,3,FALSE),0))</f>
        <v/>
      </c>
      <c r="Y166" s="16">
        <f>IF(M166="","",M166*IFERROR(VLOOKUP($A166&amp;"|Jun",Lists!$J:$L,2,FALSE),0)*IFERROR(VLOOKUP($A166&amp;"|Jun",Lists!$J:$L,3,FALSE),0))</f>
        <v/>
      </c>
      <c r="Z166" s="16">
        <f>IF(N166="","",N166*IFERROR(VLOOKUP($A166&amp;"|Jul",Lists!$J:$L,2,FALSE),0)*IFERROR(VLOOKUP($A166&amp;"|Jul",Lists!$J:$L,3,FALSE),0))</f>
        <v/>
      </c>
      <c r="AA166" s="16">
        <f>IF(O166="","",O166*IFERROR(VLOOKUP($A166&amp;"|Aug",Lists!$J:$L,2,FALSE),0)*IFERROR(VLOOKUP($A166&amp;"|Aug",Lists!$J:$L,3,FALSE),0))</f>
        <v/>
      </c>
      <c r="AB166" s="16">
        <f>IF(P166="","",P166*IFERROR(VLOOKUP($A166&amp;"|Sep",Lists!$J:$L,2,FALSE),0)*IFERROR(VLOOKUP($A166&amp;"|Sep",Lists!$J:$L,3,FALSE),0))</f>
        <v/>
      </c>
      <c r="AC166" s="16">
        <f>IF(Q166="","",Q166*IFERROR(VLOOKUP($A166&amp;"|Oct",Lists!$J:$L,2,FALSE),0)*IFERROR(VLOOKUP($A166&amp;"|Oct",Lists!$J:$L,3,FALSE),0))</f>
        <v/>
      </c>
      <c r="AD166" s="16">
        <f>IF(R166="","",R166*IFERROR(VLOOKUP($A166&amp;"|Nov",Lists!$J:$L,2,FALSE),0)*IFERROR(VLOOKUP($A166&amp;"|Nov",Lists!$J:$L,3,FALSE),0))</f>
        <v/>
      </c>
      <c r="AE166" s="16">
        <f>IF(S166="","",S166*IFERROR(VLOOKUP($A166&amp;"|Dec",Lists!$J:$L,2,FALSE),0)*IFERROR(VLOOKUP($A166&amp;"|Dec",Lists!$J:$L,3,FALSE),0))</f>
        <v/>
      </c>
    </row>
    <row r="167">
      <c r="T167" s="19">
        <f>IF($A167="","",VLOOKUP($A167,DevRateTable,3,FALSE))</f>
        <v/>
      </c>
      <c r="U167" s="16">
        <f>IF(I167="","",I167*IFERROR(VLOOKUP($A167&amp;"|Feb",Lists!$J:$L,2,FALSE),0)*IFERROR(VLOOKUP($A167&amp;"|Feb",Lists!$J:$L,3,FALSE),0))</f>
        <v/>
      </c>
      <c r="V167" s="16">
        <f>IF(J167="","",J167*IFERROR(VLOOKUP($A167&amp;"|Mar",Lists!$J:$L,2,FALSE),0)*IFERROR(VLOOKUP($A167&amp;"|Mar",Lists!$J:$L,3,FALSE),0))</f>
        <v/>
      </c>
      <c r="W167" s="16">
        <f>IF(K167="","",K167*IFERROR(VLOOKUP($A167&amp;"|Apr",Lists!$J:$L,2,FALSE),0)*IFERROR(VLOOKUP($A167&amp;"|Apr",Lists!$J:$L,3,FALSE),0))</f>
        <v/>
      </c>
      <c r="X167" s="16">
        <f>IF(L167="","",L167*IFERROR(VLOOKUP($A167&amp;"|May",Lists!$J:$L,2,FALSE),0)*IFERROR(VLOOKUP($A167&amp;"|May",Lists!$J:$L,3,FALSE),0))</f>
        <v/>
      </c>
      <c r="Y167" s="16">
        <f>IF(M167="","",M167*IFERROR(VLOOKUP($A167&amp;"|Jun",Lists!$J:$L,2,FALSE),0)*IFERROR(VLOOKUP($A167&amp;"|Jun",Lists!$J:$L,3,FALSE),0))</f>
        <v/>
      </c>
      <c r="Z167" s="16">
        <f>IF(N167="","",N167*IFERROR(VLOOKUP($A167&amp;"|Jul",Lists!$J:$L,2,FALSE),0)*IFERROR(VLOOKUP($A167&amp;"|Jul",Lists!$J:$L,3,FALSE),0))</f>
        <v/>
      </c>
      <c r="AA167" s="16">
        <f>IF(O167="","",O167*IFERROR(VLOOKUP($A167&amp;"|Aug",Lists!$J:$L,2,FALSE),0)*IFERROR(VLOOKUP($A167&amp;"|Aug",Lists!$J:$L,3,FALSE),0))</f>
        <v/>
      </c>
      <c r="AB167" s="16">
        <f>IF(P167="","",P167*IFERROR(VLOOKUP($A167&amp;"|Sep",Lists!$J:$L,2,FALSE),0)*IFERROR(VLOOKUP($A167&amp;"|Sep",Lists!$J:$L,3,FALSE),0))</f>
        <v/>
      </c>
      <c r="AC167" s="16">
        <f>IF(Q167="","",Q167*IFERROR(VLOOKUP($A167&amp;"|Oct",Lists!$J:$L,2,FALSE),0)*IFERROR(VLOOKUP($A167&amp;"|Oct",Lists!$J:$L,3,FALSE),0))</f>
        <v/>
      </c>
      <c r="AD167" s="16">
        <f>IF(R167="","",R167*IFERROR(VLOOKUP($A167&amp;"|Nov",Lists!$J:$L,2,FALSE),0)*IFERROR(VLOOKUP($A167&amp;"|Nov",Lists!$J:$L,3,FALSE),0))</f>
        <v/>
      </c>
      <c r="AE167" s="16">
        <f>IF(S167="","",S167*IFERROR(VLOOKUP($A167&amp;"|Dec",Lists!$J:$L,2,FALSE),0)*IFERROR(VLOOKUP($A167&amp;"|Dec",Lists!$J:$L,3,FALSE),0))</f>
        <v/>
      </c>
    </row>
    <row r="168">
      <c r="T168" s="19">
        <f>IF($A168="","",VLOOKUP($A168,DevRateTable,3,FALSE))</f>
        <v/>
      </c>
      <c r="U168" s="16">
        <f>IF(I168="","",I168*IFERROR(VLOOKUP($A168&amp;"|Feb",Lists!$J:$L,2,FALSE),0)*IFERROR(VLOOKUP($A168&amp;"|Feb",Lists!$J:$L,3,FALSE),0))</f>
        <v/>
      </c>
      <c r="V168" s="16">
        <f>IF(J168="","",J168*IFERROR(VLOOKUP($A168&amp;"|Mar",Lists!$J:$L,2,FALSE),0)*IFERROR(VLOOKUP($A168&amp;"|Mar",Lists!$J:$L,3,FALSE),0))</f>
        <v/>
      </c>
      <c r="W168" s="16">
        <f>IF(K168="","",K168*IFERROR(VLOOKUP($A168&amp;"|Apr",Lists!$J:$L,2,FALSE),0)*IFERROR(VLOOKUP($A168&amp;"|Apr",Lists!$J:$L,3,FALSE),0))</f>
        <v/>
      </c>
      <c r="X168" s="16">
        <f>IF(L168="","",L168*IFERROR(VLOOKUP($A168&amp;"|May",Lists!$J:$L,2,FALSE),0)*IFERROR(VLOOKUP($A168&amp;"|May",Lists!$J:$L,3,FALSE),0))</f>
        <v/>
      </c>
      <c r="Y168" s="16">
        <f>IF(M168="","",M168*IFERROR(VLOOKUP($A168&amp;"|Jun",Lists!$J:$L,2,FALSE),0)*IFERROR(VLOOKUP($A168&amp;"|Jun",Lists!$J:$L,3,FALSE),0))</f>
        <v/>
      </c>
      <c r="Z168" s="16">
        <f>IF(N168="","",N168*IFERROR(VLOOKUP($A168&amp;"|Jul",Lists!$J:$L,2,FALSE),0)*IFERROR(VLOOKUP($A168&amp;"|Jul",Lists!$J:$L,3,FALSE),0))</f>
        <v/>
      </c>
      <c r="AA168" s="16">
        <f>IF(O168="","",O168*IFERROR(VLOOKUP($A168&amp;"|Aug",Lists!$J:$L,2,FALSE),0)*IFERROR(VLOOKUP($A168&amp;"|Aug",Lists!$J:$L,3,FALSE),0))</f>
        <v/>
      </c>
      <c r="AB168" s="16">
        <f>IF(P168="","",P168*IFERROR(VLOOKUP($A168&amp;"|Sep",Lists!$J:$L,2,FALSE),0)*IFERROR(VLOOKUP($A168&amp;"|Sep",Lists!$J:$L,3,FALSE),0))</f>
        <v/>
      </c>
      <c r="AC168" s="16">
        <f>IF(Q168="","",Q168*IFERROR(VLOOKUP($A168&amp;"|Oct",Lists!$J:$L,2,FALSE),0)*IFERROR(VLOOKUP($A168&amp;"|Oct",Lists!$J:$L,3,FALSE),0))</f>
        <v/>
      </c>
      <c r="AD168" s="16">
        <f>IF(R168="","",R168*IFERROR(VLOOKUP($A168&amp;"|Nov",Lists!$J:$L,2,FALSE),0)*IFERROR(VLOOKUP($A168&amp;"|Nov",Lists!$J:$L,3,FALSE),0))</f>
        <v/>
      </c>
      <c r="AE168" s="16">
        <f>IF(S168="","",S168*IFERROR(VLOOKUP($A168&amp;"|Dec",Lists!$J:$L,2,FALSE),0)*IFERROR(VLOOKUP($A168&amp;"|Dec",Lists!$J:$L,3,FALSE),0))</f>
        <v/>
      </c>
    </row>
    <row r="169">
      <c r="T169" s="19">
        <f>IF($A169="","",VLOOKUP($A169,DevRateTable,3,FALSE))</f>
        <v/>
      </c>
      <c r="U169" s="16">
        <f>IF(I169="","",I169*IFERROR(VLOOKUP($A169&amp;"|Feb",Lists!$J:$L,2,FALSE),0)*IFERROR(VLOOKUP($A169&amp;"|Feb",Lists!$J:$L,3,FALSE),0))</f>
        <v/>
      </c>
      <c r="V169" s="16">
        <f>IF(J169="","",J169*IFERROR(VLOOKUP($A169&amp;"|Mar",Lists!$J:$L,2,FALSE),0)*IFERROR(VLOOKUP($A169&amp;"|Mar",Lists!$J:$L,3,FALSE),0))</f>
        <v/>
      </c>
      <c r="W169" s="16">
        <f>IF(K169="","",K169*IFERROR(VLOOKUP($A169&amp;"|Apr",Lists!$J:$L,2,FALSE),0)*IFERROR(VLOOKUP($A169&amp;"|Apr",Lists!$J:$L,3,FALSE),0))</f>
        <v/>
      </c>
      <c r="X169" s="16">
        <f>IF(L169="","",L169*IFERROR(VLOOKUP($A169&amp;"|May",Lists!$J:$L,2,FALSE),0)*IFERROR(VLOOKUP($A169&amp;"|May",Lists!$J:$L,3,FALSE),0))</f>
        <v/>
      </c>
      <c r="Y169" s="16">
        <f>IF(M169="","",M169*IFERROR(VLOOKUP($A169&amp;"|Jun",Lists!$J:$L,2,FALSE),0)*IFERROR(VLOOKUP($A169&amp;"|Jun",Lists!$J:$L,3,FALSE),0))</f>
        <v/>
      </c>
      <c r="Z169" s="16">
        <f>IF(N169="","",N169*IFERROR(VLOOKUP($A169&amp;"|Jul",Lists!$J:$L,2,FALSE),0)*IFERROR(VLOOKUP($A169&amp;"|Jul",Lists!$J:$L,3,FALSE),0))</f>
        <v/>
      </c>
      <c r="AA169" s="16">
        <f>IF(O169="","",O169*IFERROR(VLOOKUP($A169&amp;"|Aug",Lists!$J:$L,2,FALSE),0)*IFERROR(VLOOKUP($A169&amp;"|Aug",Lists!$J:$L,3,FALSE),0))</f>
        <v/>
      </c>
      <c r="AB169" s="16">
        <f>IF(P169="","",P169*IFERROR(VLOOKUP($A169&amp;"|Sep",Lists!$J:$L,2,FALSE),0)*IFERROR(VLOOKUP($A169&amp;"|Sep",Lists!$J:$L,3,FALSE),0))</f>
        <v/>
      </c>
      <c r="AC169" s="16">
        <f>IF(Q169="","",Q169*IFERROR(VLOOKUP($A169&amp;"|Oct",Lists!$J:$L,2,FALSE),0)*IFERROR(VLOOKUP($A169&amp;"|Oct",Lists!$J:$L,3,FALSE),0))</f>
        <v/>
      </c>
      <c r="AD169" s="16">
        <f>IF(R169="","",R169*IFERROR(VLOOKUP($A169&amp;"|Nov",Lists!$J:$L,2,FALSE),0)*IFERROR(VLOOKUP($A169&amp;"|Nov",Lists!$J:$L,3,FALSE),0))</f>
        <v/>
      </c>
      <c r="AE169" s="16">
        <f>IF(S169="","",S169*IFERROR(VLOOKUP($A169&amp;"|Dec",Lists!$J:$L,2,FALSE),0)*IFERROR(VLOOKUP($A169&amp;"|Dec",Lists!$J:$L,3,FALSE),0))</f>
        <v/>
      </c>
    </row>
    <row r="170">
      <c r="T170" s="19">
        <f>IF($A170="","",VLOOKUP($A170,DevRateTable,3,FALSE))</f>
        <v/>
      </c>
      <c r="U170" s="16">
        <f>IF(I170="","",I170*IFERROR(VLOOKUP($A170&amp;"|Feb",Lists!$J:$L,2,FALSE),0)*IFERROR(VLOOKUP($A170&amp;"|Feb",Lists!$J:$L,3,FALSE),0))</f>
        <v/>
      </c>
      <c r="V170" s="16">
        <f>IF(J170="","",J170*IFERROR(VLOOKUP($A170&amp;"|Mar",Lists!$J:$L,2,FALSE),0)*IFERROR(VLOOKUP($A170&amp;"|Mar",Lists!$J:$L,3,FALSE),0))</f>
        <v/>
      </c>
      <c r="W170" s="16">
        <f>IF(K170="","",K170*IFERROR(VLOOKUP($A170&amp;"|Apr",Lists!$J:$L,2,FALSE),0)*IFERROR(VLOOKUP($A170&amp;"|Apr",Lists!$J:$L,3,FALSE),0))</f>
        <v/>
      </c>
      <c r="X170" s="16">
        <f>IF(L170="","",L170*IFERROR(VLOOKUP($A170&amp;"|May",Lists!$J:$L,2,FALSE),0)*IFERROR(VLOOKUP($A170&amp;"|May",Lists!$J:$L,3,FALSE),0))</f>
        <v/>
      </c>
      <c r="Y170" s="16">
        <f>IF(M170="","",M170*IFERROR(VLOOKUP($A170&amp;"|Jun",Lists!$J:$L,2,FALSE),0)*IFERROR(VLOOKUP($A170&amp;"|Jun",Lists!$J:$L,3,FALSE),0))</f>
        <v/>
      </c>
      <c r="Z170" s="16">
        <f>IF(N170="","",N170*IFERROR(VLOOKUP($A170&amp;"|Jul",Lists!$J:$L,2,FALSE),0)*IFERROR(VLOOKUP($A170&amp;"|Jul",Lists!$J:$L,3,FALSE),0))</f>
        <v/>
      </c>
      <c r="AA170" s="16">
        <f>IF(O170="","",O170*IFERROR(VLOOKUP($A170&amp;"|Aug",Lists!$J:$L,2,FALSE),0)*IFERROR(VLOOKUP($A170&amp;"|Aug",Lists!$J:$L,3,FALSE),0))</f>
        <v/>
      </c>
      <c r="AB170" s="16">
        <f>IF(P170="","",P170*IFERROR(VLOOKUP($A170&amp;"|Sep",Lists!$J:$L,2,FALSE),0)*IFERROR(VLOOKUP($A170&amp;"|Sep",Lists!$J:$L,3,FALSE),0))</f>
        <v/>
      </c>
      <c r="AC170" s="16">
        <f>IF(Q170="","",Q170*IFERROR(VLOOKUP($A170&amp;"|Oct",Lists!$J:$L,2,FALSE),0)*IFERROR(VLOOKUP($A170&amp;"|Oct",Lists!$J:$L,3,FALSE),0))</f>
        <v/>
      </c>
      <c r="AD170" s="16">
        <f>IF(R170="","",R170*IFERROR(VLOOKUP($A170&amp;"|Nov",Lists!$J:$L,2,FALSE),0)*IFERROR(VLOOKUP($A170&amp;"|Nov",Lists!$J:$L,3,FALSE),0))</f>
        <v/>
      </c>
      <c r="AE170" s="16">
        <f>IF(S170="","",S170*IFERROR(VLOOKUP($A170&amp;"|Dec",Lists!$J:$L,2,FALSE),0)*IFERROR(VLOOKUP($A170&amp;"|Dec",Lists!$J:$L,3,FALSE),0))</f>
        <v/>
      </c>
    </row>
    <row r="171">
      <c r="T171" s="19">
        <f>IF($A171="","",VLOOKUP($A171,DevRateTable,3,FALSE))</f>
        <v/>
      </c>
      <c r="U171" s="16">
        <f>IF(I171="","",I171*IFERROR(VLOOKUP($A171&amp;"|Feb",Lists!$J:$L,2,FALSE),0)*IFERROR(VLOOKUP($A171&amp;"|Feb",Lists!$J:$L,3,FALSE),0))</f>
        <v/>
      </c>
      <c r="V171" s="16">
        <f>IF(J171="","",J171*IFERROR(VLOOKUP($A171&amp;"|Mar",Lists!$J:$L,2,FALSE),0)*IFERROR(VLOOKUP($A171&amp;"|Mar",Lists!$J:$L,3,FALSE),0))</f>
        <v/>
      </c>
      <c r="W171" s="16">
        <f>IF(K171="","",K171*IFERROR(VLOOKUP($A171&amp;"|Apr",Lists!$J:$L,2,FALSE),0)*IFERROR(VLOOKUP($A171&amp;"|Apr",Lists!$J:$L,3,FALSE),0))</f>
        <v/>
      </c>
      <c r="X171" s="16">
        <f>IF(L171="","",L171*IFERROR(VLOOKUP($A171&amp;"|May",Lists!$J:$L,2,FALSE),0)*IFERROR(VLOOKUP($A171&amp;"|May",Lists!$J:$L,3,FALSE),0))</f>
        <v/>
      </c>
      <c r="Y171" s="16">
        <f>IF(M171="","",M171*IFERROR(VLOOKUP($A171&amp;"|Jun",Lists!$J:$L,2,FALSE),0)*IFERROR(VLOOKUP($A171&amp;"|Jun",Lists!$J:$L,3,FALSE),0))</f>
        <v/>
      </c>
      <c r="Z171" s="16">
        <f>IF(N171="","",N171*IFERROR(VLOOKUP($A171&amp;"|Jul",Lists!$J:$L,2,FALSE),0)*IFERROR(VLOOKUP($A171&amp;"|Jul",Lists!$J:$L,3,FALSE),0))</f>
        <v/>
      </c>
      <c r="AA171" s="16">
        <f>IF(O171="","",O171*IFERROR(VLOOKUP($A171&amp;"|Aug",Lists!$J:$L,2,FALSE),0)*IFERROR(VLOOKUP($A171&amp;"|Aug",Lists!$J:$L,3,FALSE),0))</f>
        <v/>
      </c>
      <c r="AB171" s="16">
        <f>IF(P171="","",P171*IFERROR(VLOOKUP($A171&amp;"|Sep",Lists!$J:$L,2,FALSE),0)*IFERROR(VLOOKUP($A171&amp;"|Sep",Lists!$J:$L,3,FALSE),0))</f>
        <v/>
      </c>
      <c r="AC171" s="16">
        <f>IF(Q171="","",Q171*IFERROR(VLOOKUP($A171&amp;"|Oct",Lists!$J:$L,2,FALSE),0)*IFERROR(VLOOKUP($A171&amp;"|Oct",Lists!$J:$L,3,FALSE),0))</f>
        <v/>
      </c>
      <c r="AD171" s="16">
        <f>IF(R171="","",R171*IFERROR(VLOOKUP($A171&amp;"|Nov",Lists!$J:$L,2,FALSE),0)*IFERROR(VLOOKUP($A171&amp;"|Nov",Lists!$J:$L,3,FALSE),0))</f>
        <v/>
      </c>
      <c r="AE171" s="16">
        <f>IF(S171="","",S171*IFERROR(VLOOKUP($A171&amp;"|Dec",Lists!$J:$L,2,FALSE),0)*IFERROR(VLOOKUP($A171&amp;"|Dec",Lists!$J:$L,3,FALSE),0))</f>
        <v/>
      </c>
    </row>
    <row r="172">
      <c r="T172" s="19">
        <f>IF($A172="","",VLOOKUP($A172,DevRateTable,3,FALSE))</f>
        <v/>
      </c>
      <c r="U172" s="16">
        <f>IF(I172="","",I172*IFERROR(VLOOKUP($A172&amp;"|Feb",Lists!$J:$L,2,FALSE),0)*IFERROR(VLOOKUP($A172&amp;"|Feb",Lists!$J:$L,3,FALSE),0))</f>
        <v/>
      </c>
      <c r="V172" s="16">
        <f>IF(J172="","",J172*IFERROR(VLOOKUP($A172&amp;"|Mar",Lists!$J:$L,2,FALSE),0)*IFERROR(VLOOKUP($A172&amp;"|Mar",Lists!$J:$L,3,FALSE),0))</f>
        <v/>
      </c>
      <c r="W172" s="16">
        <f>IF(K172="","",K172*IFERROR(VLOOKUP($A172&amp;"|Apr",Lists!$J:$L,2,FALSE),0)*IFERROR(VLOOKUP($A172&amp;"|Apr",Lists!$J:$L,3,FALSE),0))</f>
        <v/>
      </c>
      <c r="X172" s="16">
        <f>IF(L172="","",L172*IFERROR(VLOOKUP($A172&amp;"|May",Lists!$J:$L,2,FALSE),0)*IFERROR(VLOOKUP($A172&amp;"|May",Lists!$J:$L,3,FALSE),0))</f>
        <v/>
      </c>
      <c r="Y172" s="16">
        <f>IF(M172="","",M172*IFERROR(VLOOKUP($A172&amp;"|Jun",Lists!$J:$L,2,FALSE),0)*IFERROR(VLOOKUP($A172&amp;"|Jun",Lists!$J:$L,3,FALSE),0))</f>
        <v/>
      </c>
      <c r="Z172" s="16">
        <f>IF(N172="","",N172*IFERROR(VLOOKUP($A172&amp;"|Jul",Lists!$J:$L,2,FALSE),0)*IFERROR(VLOOKUP($A172&amp;"|Jul",Lists!$J:$L,3,FALSE),0))</f>
        <v/>
      </c>
      <c r="AA172" s="16">
        <f>IF(O172="","",O172*IFERROR(VLOOKUP($A172&amp;"|Aug",Lists!$J:$L,2,FALSE),0)*IFERROR(VLOOKUP($A172&amp;"|Aug",Lists!$J:$L,3,FALSE),0))</f>
        <v/>
      </c>
      <c r="AB172" s="16">
        <f>IF(P172="","",P172*IFERROR(VLOOKUP($A172&amp;"|Sep",Lists!$J:$L,2,FALSE),0)*IFERROR(VLOOKUP($A172&amp;"|Sep",Lists!$J:$L,3,FALSE),0))</f>
        <v/>
      </c>
      <c r="AC172" s="16">
        <f>IF(Q172="","",Q172*IFERROR(VLOOKUP($A172&amp;"|Oct",Lists!$J:$L,2,FALSE),0)*IFERROR(VLOOKUP($A172&amp;"|Oct",Lists!$J:$L,3,FALSE),0))</f>
        <v/>
      </c>
      <c r="AD172" s="16">
        <f>IF(R172="","",R172*IFERROR(VLOOKUP($A172&amp;"|Nov",Lists!$J:$L,2,FALSE),0)*IFERROR(VLOOKUP($A172&amp;"|Nov",Lists!$J:$L,3,FALSE),0))</f>
        <v/>
      </c>
      <c r="AE172" s="16">
        <f>IF(S172="","",S172*IFERROR(VLOOKUP($A172&amp;"|Dec",Lists!$J:$L,2,FALSE),0)*IFERROR(VLOOKUP($A172&amp;"|Dec",Lists!$J:$L,3,FALSE),0))</f>
        <v/>
      </c>
    </row>
    <row r="173">
      <c r="T173" s="19">
        <f>IF($A173="","",VLOOKUP($A173,DevRateTable,3,FALSE))</f>
        <v/>
      </c>
      <c r="U173" s="16">
        <f>IF(I173="","",I173*IFERROR(VLOOKUP($A173&amp;"|Feb",Lists!$J:$L,2,FALSE),0)*IFERROR(VLOOKUP($A173&amp;"|Feb",Lists!$J:$L,3,FALSE),0))</f>
        <v/>
      </c>
      <c r="V173" s="16">
        <f>IF(J173="","",J173*IFERROR(VLOOKUP($A173&amp;"|Mar",Lists!$J:$L,2,FALSE),0)*IFERROR(VLOOKUP($A173&amp;"|Mar",Lists!$J:$L,3,FALSE),0))</f>
        <v/>
      </c>
      <c r="W173" s="16">
        <f>IF(K173="","",K173*IFERROR(VLOOKUP($A173&amp;"|Apr",Lists!$J:$L,2,FALSE),0)*IFERROR(VLOOKUP($A173&amp;"|Apr",Lists!$J:$L,3,FALSE),0))</f>
        <v/>
      </c>
      <c r="X173" s="16">
        <f>IF(L173="","",L173*IFERROR(VLOOKUP($A173&amp;"|May",Lists!$J:$L,2,FALSE),0)*IFERROR(VLOOKUP($A173&amp;"|May",Lists!$J:$L,3,FALSE),0))</f>
        <v/>
      </c>
      <c r="Y173" s="16">
        <f>IF(M173="","",M173*IFERROR(VLOOKUP($A173&amp;"|Jun",Lists!$J:$L,2,FALSE),0)*IFERROR(VLOOKUP($A173&amp;"|Jun",Lists!$J:$L,3,FALSE),0))</f>
        <v/>
      </c>
      <c r="Z173" s="16">
        <f>IF(N173="","",N173*IFERROR(VLOOKUP($A173&amp;"|Jul",Lists!$J:$L,2,FALSE),0)*IFERROR(VLOOKUP($A173&amp;"|Jul",Lists!$J:$L,3,FALSE),0))</f>
        <v/>
      </c>
      <c r="AA173" s="16">
        <f>IF(O173="","",O173*IFERROR(VLOOKUP($A173&amp;"|Aug",Lists!$J:$L,2,FALSE),0)*IFERROR(VLOOKUP($A173&amp;"|Aug",Lists!$J:$L,3,FALSE),0))</f>
        <v/>
      </c>
      <c r="AB173" s="16">
        <f>IF(P173="","",P173*IFERROR(VLOOKUP($A173&amp;"|Sep",Lists!$J:$L,2,FALSE),0)*IFERROR(VLOOKUP($A173&amp;"|Sep",Lists!$J:$L,3,FALSE),0))</f>
        <v/>
      </c>
      <c r="AC173" s="16">
        <f>IF(Q173="","",Q173*IFERROR(VLOOKUP($A173&amp;"|Oct",Lists!$J:$L,2,FALSE),0)*IFERROR(VLOOKUP($A173&amp;"|Oct",Lists!$J:$L,3,FALSE),0))</f>
        <v/>
      </c>
      <c r="AD173" s="16">
        <f>IF(R173="","",R173*IFERROR(VLOOKUP($A173&amp;"|Nov",Lists!$J:$L,2,FALSE),0)*IFERROR(VLOOKUP($A173&amp;"|Nov",Lists!$J:$L,3,FALSE),0))</f>
        <v/>
      </c>
      <c r="AE173" s="16">
        <f>IF(S173="","",S173*IFERROR(VLOOKUP($A173&amp;"|Dec",Lists!$J:$L,2,FALSE),0)*IFERROR(VLOOKUP($A173&amp;"|Dec",Lists!$J:$L,3,FALSE),0))</f>
        <v/>
      </c>
    </row>
    <row r="174">
      <c r="T174" s="19">
        <f>IF($A174="","",VLOOKUP($A174,DevRateTable,3,FALSE))</f>
        <v/>
      </c>
      <c r="U174" s="16">
        <f>IF(I174="","",I174*IFERROR(VLOOKUP($A174&amp;"|Feb",Lists!$J:$L,2,FALSE),0)*IFERROR(VLOOKUP($A174&amp;"|Feb",Lists!$J:$L,3,FALSE),0))</f>
        <v/>
      </c>
      <c r="V174" s="16">
        <f>IF(J174="","",J174*IFERROR(VLOOKUP($A174&amp;"|Mar",Lists!$J:$L,2,FALSE),0)*IFERROR(VLOOKUP($A174&amp;"|Mar",Lists!$J:$L,3,FALSE),0))</f>
        <v/>
      </c>
      <c r="W174" s="16">
        <f>IF(K174="","",K174*IFERROR(VLOOKUP($A174&amp;"|Apr",Lists!$J:$L,2,FALSE),0)*IFERROR(VLOOKUP($A174&amp;"|Apr",Lists!$J:$L,3,FALSE),0))</f>
        <v/>
      </c>
      <c r="X174" s="16">
        <f>IF(L174="","",L174*IFERROR(VLOOKUP($A174&amp;"|May",Lists!$J:$L,2,FALSE),0)*IFERROR(VLOOKUP($A174&amp;"|May",Lists!$J:$L,3,FALSE),0))</f>
        <v/>
      </c>
      <c r="Y174" s="16">
        <f>IF(M174="","",M174*IFERROR(VLOOKUP($A174&amp;"|Jun",Lists!$J:$L,2,FALSE),0)*IFERROR(VLOOKUP($A174&amp;"|Jun",Lists!$J:$L,3,FALSE),0))</f>
        <v/>
      </c>
      <c r="Z174" s="16">
        <f>IF(N174="","",N174*IFERROR(VLOOKUP($A174&amp;"|Jul",Lists!$J:$L,2,FALSE),0)*IFERROR(VLOOKUP($A174&amp;"|Jul",Lists!$J:$L,3,FALSE),0))</f>
        <v/>
      </c>
      <c r="AA174" s="16">
        <f>IF(O174="","",O174*IFERROR(VLOOKUP($A174&amp;"|Aug",Lists!$J:$L,2,FALSE),0)*IFERROR(VLOOKUP($A174&amp;"|Aug",Lists!$J:$L,3,FALSE),0))</f>
        <v/>
      </c>
      <c r="AB174" s="16">
        <f>IF(P174="","",P174*IFERROR(VLOOKUP($A174&amp;"|Sep",Lists!$J:$L,2,FALSE),0)*IFERROR(VLOOKUP($A174&amp;"|Sep",Lists!$J:$L,3,FALSE),0))</f>
        <v/>
      </c>
      <c r="AC174" s="16">
        <f>IF(Q174="","",Q174*IFERROR(VLOOKUP($A174&amp;"|Oct",Lists!$J:$L,2,FALSE),0)*IFERROR(VLOOKUP($A174&amp;"|Oct",Lists!$J:$L,3,FALSE),0))</f>
        <v/>
      </c>
      <c r="AD174" s="16">
        <f>IF(R174="","",R174*IFERROR(VLOOKUP($A174&amp;"|Nov",Lists!$J:$L,2,FALSE),0)*IFERROR(VLOOKUP($A174&amp;"|Nov",Lists!$J:$L,3,FALSE),0))</f>
        <v/>
      </c>
      <c r="AE174" s="16">
        <f>IF(S174="","",S174*IFERROR(VLOOKUP($A174&amp;"|Dec",Lists!$J:$L,2,FALSE),0)*IFERROR(VLOOKUP($A174&amp;"|Dec",Lists!$J:$L,3,FALSE),0))</f>
        <v/>
      </c>
    </row>
    <row r="175">
      <c r="T175" s="19">
        <f>IF($A175="","",VLOOKUP($A175,DevRateTable,3,FALSE))</f>
        <v/>
      </c>
      <c r="U175" s="16">
        <f>IF(I175="","",I175*IFERROR(VLOOKUP($A175&amp;"|Feb",Lists!$J:$L,2,FALSE),0)*IFERROR(VLOOKUP($A175&amp;"|Feb",Lists!$J:$L,3,FALSE),0))</f>
        <v/>
      </c>
      <c r="V175" s="16">
        <f>IF(J175="","",J175*IFERROR(VLOOKUP($A175&amp;"|Mar",Lists!$J:$L,2,FALSE),0)*IFERROR(VLOOKUP($A175&amp;"|Mar",Lists!$J:$L,3,FALSE),0))</f>
        <v/>
      </c>
      <c r="W175" s="16">
        <f>IF(K175="","",K175*IFERROR(VLOOKUP($A175&amp;"|Apr",Lists!$J:$L,2,FALSE),0)*IFERROR(VLOOKUP($A175&amp;"|Apr",Lists!$J:$L,3,FALSE),0))</f>
        <v/>
      </c>
      <c r="X175" s="16">
        <f>IF(L175="","",L175*IFERROR(VLOOKUP($A175&amp;"|May",Lists!$J:$L,2,FALSE),0)*IFERROR(VLOOKUP($A175&amp;"|May",Lists!$J:$L,3,FALSE),0))</f>
        <v/>
      </c>
      <c r="Y175" s="16">
        <f>IF(M175="","",M175*IFERROR(VLOOKUP($A175&amp;"|Jun",Lists!$J:$L,2,FALSE),0)*IFERROR(VLOOKUP($A175&amp;"|Jun",Lists!$J:$L,3,FALSE),0))</f>
        <v/>
      </c>
      <c r="Z175" s="16">
        <f>IF(N175="","",N175*IFERROR(VLOOKUP($A175&amp;"|Jul",Lists!$J:$L,2,FALSE),0)*IFERROR(VLOOKUP($A175&amp;"|Jul",Lists!$J:$L,3,FALSE),0))</f>
        <v/>
      </c>
      <c r="AA175" s="16">
        <f>IF(O175="","",O175*IFERROR(VLOOKUP($A175&amp;"|Aug",Lists!$J:$L,2,FALSE),0)*IFERROR(VLOOKUP($A175&amp;"|Aug",Lists!$J:$L,3,FALSE),0))</f>
        <v/>
      </c>
      <c r="AB175" s="16">
        <f>IF(P175="","",P175*IFERROR(VLOOKUP($A175&amp;"|Sep",Lists!$J:$L,2,FALSE),0)*IFERROR(VLOOKUP($A175&amp;"|Sep",Lists!$J:$L,3,FALSE),0))</f>
        <v/>
      </c>
      <c r="AC175" s="16">
        <f>IF(Q175="","",Q175*IFERROR(VLOOKUP($A175&amp;"|Oct",Lists!$J:$L,2,FALSE),0)*IFERROR(VLOOKUP($A175&amp;"|Oct",Lists!$J:$L,3,FALSE),0))</f>
        <v/>
      </c>
      <c r="AD175" s="16">
        <f>IF(R175="","",R175*IFERROR(VLOOKUP($A175&amp;"|Nov",Lists!$J:$L,2,FALSE),0)*IFERROR(VLOOKUP($A175&amp;"|Nov",Lists!$J:$L,3,FALSE),0))</f>
        <v/>
      </c>
      <c r="AE175" s="16">
        <f>IF(S175="","",S175*IFERROR(VLOOKUP($A175&amp;"|Dec",Lists!$J:$L,2,FALSE),0)*IFERROR(VLOOKUP($A175&amp;"|Dec",Lists!$J:$L,3,FALSE),0))</f>
        <v/>
      </c>
    </row>
    <row r="176">
      <c r="T176" s="19">
        <f>IF($A176="","",VLOOKUP($A176,DevRateTable,3,FALSE))</f>
        <v/>
      </c>
      <c r="U176" s="16">
        <f>IF(I176="","",I176*IFERROR(VLOOKUP($A176&amp;"|Feb",Lists!$J:$L,2,FALSE),0)*IFERROR(VLOOKUP($A176&amp;"|Feb",Lists!$J:$L,3,FALSE),0))</f>
        <v/>
      </c>
      <c r="V176" s="16">
        <f>IF(J176="","",J176*IFERROR(VLOOKUP($A176&amp;"|Mar",Lists!$J:$L,2,FALSE),0)*IFERROR(VLOOKUP($A176&amp;"|Mar",Lists!$J:$L,3,FALSE),0))</f>
        <v/>
      </c>
      <c r="W176" s="16">
        <f>IF(K176="","",K176*IFERROR(VLOOKUP($A176&amp;"|Apr",Lists!$J:$L,2,FALSE),0)*IFERROR(VLOOKUP($A176&amp;"|Apr",Lists!$J:$L,3,FALSE),0))</f>
        <v/>
      </c>
      <c r="X176" s="16">
        <f>IF(L176="","",L176*IFERROR(VLOOKUP($A176&amp;"|May",Lists!$J:$L,2,FALSE),0)*IFERROR(VLOOKUP($A176&amp;"|May",Lists!$J:$L,3,FALSE),0))</f>
        <v/>
      </c>
      <c r="Y176" s="16">
        <f>IF(M176="","",M176*IFERROR(VLOOKUP($A176&amp;"|Jun",Lists!$J:$L,2,FALSE),0)*IFERROR(VLOOKUP($A176&amp;"|Jun",Lists!$J:$L,3,FALSE),0))</f>
        <v/>
      </c>
      <c r="Z176" s="16">
        <f>IF(N176="","",N176*IFERROR(VLOOKUP($A176&amp;"|Jul",Lists!$J:$L,2,FALSE),0)*IFERROR(VLOOKUP($A176&amp;"|Jul",Lists!$J:$L,3,FALSE),0))</f>
        <v/>
      </c>
      <c r="AA176" s="16">
        <f>IF(O176="","",O176*IFERROR(VLOOKUP($A176&amp;"|Aug",Lists!$J:$L,2,FALSE),0)*IFERROR(VLOOKUP($A176&amp;"|Aug",Lists!$J:$L,3,FALSE),0))</f>
        <v/>
      </c>
      <c r="AB176" s="16">
        <f>IF(P176="","",P176*IFERROR(VLOOKUP($A176&amp;"|Sep",Lists!$J:$L,2,FALSE),0)*IFERROR(VLOOKUP($A176&amp;"|Sep",Lists!$J:$L,3,FALSE),0))</f>
        <v/>
      </c>
      <c r="AC176" s="16">
        <f>IF(Q176="","",Q176*IFERROR(VLOOKUP($A176&amp;"|Oct",Lists!$J:$L,2,FALSE),0)*IFERROR(VLOOKUP($A176&amp;"|Oct",Lists!$J:$L,3,FALSE),0))</f>
        <v/>
      </c>
      <c r="AD176" s="16">
        <f>IF(R176="","",R176*IFERROR(VLOOKUP($A176&amp;"|Nov",Lists!$J:$L,2,FALSE),0)*IFERROR(VLOOKUP($A176&amp;"|Nov",Lists!$J:$L,3,FALSE),0))</f>
        <v/>
      </c>
      <c r="AE176" s="16">
        <f>IF(S176="","",S176*IFERROR(VLOOKUP($A176&amp;"|Dec",Lists!$J:$L,2,FALSE),0)*IFERROR(VLOOKUP($A176&amp;"|Dec",Lists!$J:$L,3,FALSE),0))</f>
        <v/>
      </c>
    </row>
    <row r="177">
      <c r="T177" s="19">
        <f>IF($A177="","",VLOOKUP($A177,DevRateTable,3,FALSE))</f>
        <v/>
      </c>
      <c r="U177" s="16">
        <f>IF(I177="","",I177*IFERROR(VLOOKUP($A177&amp;"|Feb",Lists!$J:$L,2,FALSE),0)*IFERROR(VLOOKUP($A177&amp;"|Feb",Lists!$J:$L,3,FALSE),0))</f>
        <v/>
      </c>
      <c r="V177" s="16">
        <f>IF(J177="","",J177*IFERROR(VLOOKUP($A177&amp;"|Mar",Lists!$J:$L,2,FALSE),0)*IFERROR(VLOOKUP($A177&amp;"|Mar",Lists!$J:$L,3,FALSE),0))</f>
        <v/>
      </c>
      <c r="W177" s="16">
        <f>IF(K177="","",K177*IFERROR(VLOOKUP($A177&amp;"|Apr",Lists!$J:$L,2,FALSE),0)*IFERROR(VLOOKUP($A177&amp;"|Apr",Lists!$J:$L,3,FALSE),0))</f>
        <v/>
      </c>
      <c r="X177" s="16">
        <f>IF(L177="","",L177*IFERROR(VLOOKUP($A177&amp;"|May",Lists!$J:$L,2,FALSE),0)*IFERROR(VLOOKUP($A177&amp;"|May",Lists!$J:$L,3,FALSE),0))</f>
        <v/>
      </c>
      <c r="Y177" s="16">
        <f>IF(M177="","",M177*IFERROR(VLOOKUP($A177&amp;"|Jun",Lists!$J:$L,2,FALSE),0)*IFERROR(VLOOKUP($A177&amp;"|Jun",Lists!$J:$L,3,FALSE),0))</f>
        <v/>
      </c>
      <c r="Z177" s="16">
        <f>IF(N177="","",N177*IFERROR(VLOOKUP($A177&amp;"|Jul",Lists!$J:$L,2,FALSE),0)*IFERROR(VLOOKUP($A177&amp;"|Jul",Lists!$J:$L,3,FALSE),0))</f>
        <v/>
      </c>
      <c r="AA177" s="16">
        <f>IF(O177="","",O177*IFERROR(VLOOKUP($A177&amp;"|Aug",Lists!$J:$L,2,FALSE),0)*IFERROR(VLOOKUP($A177&amp;"|Aug",Lists!$J:$L,3,FALSE),0))</f>
        <v/>
      </c>
      <c r="AB177" s="16">
        <f>IF(P177="","",P177*IFERROR(VLOOKUP($A177&amp;"|Sep",Lists!$J:$L,2,FALSE),0)*IFERROR(VLOOKUP($A177&amp;"|Sep",Lists!$J:$L,3,FALSE),0))</f>
        <v/>
      </c>
      <c r="AC177" s="16">
        <f>IF(Q177="","",Q177*IFERROR(VLOOKUP($A177&amp;"|Oct",Lists!$J:$L,2,FALSE),0)*IFERROR(VLOOKUP($A177&amp;"|Oct",Lists!$J:$L,3,FALSE),0))</f>
        <v/>
      </c>
      <c r="AD177" s="16">
        <f>IF(R177="","",R177*IFERROR(VLOOKUP($A177&amp;"|Nov",Lists!$J:$L,2,FALSE),0)*IFERROR(VLOOKUP($A177&amp;"|Nov",Lists!$J:$L,3,FALSE),0))</f>
        <v/>
      </c>
      <c r="AE177" s="16">
        <f>IF(S177="","",S177*IFERROR(VLOOKUP($A177&amp;"|Dec",Lists!$J:$L,2,FALSE),0)*IFERROR(VLOOKUP($A177&amp;"|Dec",Lists!$J:$L,3,FALSE),0))</f>
        <v/>
      </c>
    </row>
    <row r="178">
      <c r="T178" s="19">
        <f>IF($A178="","",VLOOKUP($A178,DevRateTable,3,FALSE))</f>
        <v/>
      </c>
      <c r="U178" s="16">
        <f>IF(I178="","",I178*IFERROR(VLOOKUP($A178&amp;"|Feb",Lists!$J:$L,2,FALSE),0)*IFERROR(VLOOKUP($A178&amp;"|Feb",Lists!$J:$L,3,FALSE),0))</f>
        <v/>
      </c>
      <c r="V178" s="16">
        <f>IF(J178="","",J178*IFERROR(VLOOKUP($A178&amp;"|Mar",Lists!$J:$L,2,FALSE),0)*IFERROR(VLOOKUP($A178&amp;"|Mar",Lists!$J:$L,3,FALSE),0))</f>
        <v/>
      </c>
      <c r="W178" s="16">
        <f>IF(K178="","",K178*IFERROR(VLOOKUP($A178&amp;"|Apr",Lists!$J:$L,2,FALSE),0)*IFERROR(VLOOKUP($A178&amp;"|Apr",Lists!$J:$L,3,FALSE),0))</f>
        <v/>
      </c>
      <c r="X178" s="16">
        <f>IF(L178="","",L178*IFERROR(VLOOKUP($A178&amp;"|May",Lists!$J:$L,2,FALSE),0)*IFERROR(VLOOKUP($A178&amp;"|May",Lists!$J:$L,3,FALSE),0))</f>
        <v/>
      </c>
      <c r="Y178" s="16">
        <f>IF(M178="","",M178*IFERROR(VLOOKUP($A178&amp;"|Jun",Lists!$J:$L,2,FALSE),0)*IFERROR(VLOOKUP($A178&amp;"|Jun",Lists!$J:$L,3,FALSE),0))</f>
        <v/>
      </c>
      <c r="Z178" s="16">
        <f>IF(N178="","",N178*IFERROR(VLOOKUP($A178&amp;"|Jul",Lists!$J:$L,2,FALSE),0)*IFERROR(VLOOKUP($A178&amp;"|Jul",Lists!$J:$L,3,FALSE),0))</f>
        <v/>
      </c>
      <c r="AA178" s="16">
        <f>IF(O178="","",O178*IFERROR(VLOOKUP($A178&amp;"|Aug",Lists!$J:$L,2,FALSE),0)*IFERROR(VLOOKUP($A178&amp;"|Aug",Lists!$J:$L,3,FALSE),0))</f>
        <v/>
      </c>
      <c r="AB178" s="16">
        <f>IF(P178="","",P178*IFERROR(VLOOKUP($A178&amp;"|Sep",Lists!$J:$L,2,FALSE),0)*IFERROR(VLOOKUP($A178&amp;"|Sep",Lists!$J:$L,3,FALSE),0))</f>
        <v/>
      </c>
      <c r="AC178" s="16">
        <f>IF(Q178="","",Q178*IFERROR(VLOOKUP($A178&amp;"|Oct",Lists!$J:$L,2,FALSE),0)*IFERROR(VLOOKUP($A178&amp;"|Oct",Lists!$J:$L,3,FALSE),0))</f>
        <v/>
      </c>
      <c r="AD178" s="16">
        <f>IF(R178="","",R178*IFERROR(VLOOKUP($A178&amp;"|Nov",Lists!$J:$L,2,FALSE),0)*IFERROR(VLOOKUP($A178&amp;"|Nov",Lists!$J:$L,3,FALSE),0))</f>
        <v/>
      </c>
      <c r="AE178" s="16">
        <f>IF(S178="","",S178*IFERROR(VLOOKUP($A178&amp;"|Dec",Lists!$J:$L,2,FALSE),0)*IFERROR(VLOOKUP($A178&amp;"|Dec",Lists!$J:$L,3,FALSE),0))</f>
        <v/>
      </c>
    </row>
    <row r="179">
      <c r="T179" s="19">
        <f>IF($A179="","",VLOOKUP($A179,DevRateTable,3,FALSE))</f>
        <v/>
      </c>
      <c r="U179" s="16">
        <f>IF(I179="","",I179*IFERROR(VLOOKUP($A179&amp;"|Feb",Lists!$J:$L,2,FALSE),0)*IFERROR(VLOOKUP($A179&amp;"|Feb",Lists!$J:$L,3,FALSE),0))</f>
        <v/>
      </c>
      <c r="V179" s="16">
        <f>IF(J179="","",J179*IFERROR(VLOOKUP($A179&amp;"|Mar",Lists!$J:$L,2,FALSE),0)*IFERROR(VLOOKUP($A179&amp;"|Mar",Lists!$J:$L,3,FALSE),0))</f>
        <v/>
      </c>
      <c r="W179" s="16">
        <f>IF(K179="","",K179*IFERROR(VLOOKUP($A179&amp;"|Apr",Lists!$J:$L,2,FALSE),0)*IFERROR(VLOOKUP($A179&amp;"|Apr",Lists!$J:$L,3,FALSE),0))</f>
        <v/>
      </c>
      <c r="X179" s="16">
        <f>IF(L179="","",L179*IFERROR(VLOOKUP($A179&amp;"|May",Lists!$J:$L,2,FALSE),0)*IFERROR(VLOOKUP($A179&amp;"|May",Lists!$J:$L,3,FALSE),0))</f>
        <v/>
      </c>
      <c r="Y179" s="16">
        <f>IF(M179="","",M179*IFERROR(VLOOKUP($A179&amp;"|Jun",Lists!$J:$L,2,FALSE),0)*IFERROR(VLOOKUP($A179&amp;"|Jun",Lists!$J:$L,3,FALSE),0))</f>
        <v/>
      </c>
      <c r="Z179" s="16">
        <f>IF(N179="","",N179*IFERROR(VLOOKUP($A179&amp;"|Jul",Lists!$J:$L,2,FALSE),0)*IFERROR(VLOOKUP($A179&amp;"|Jul",Lists!$J:$L,3,FALSE),0))</f>
        <v/>
      </c>
      <c r="AA179" s="16">
        <f>IF(O179="","",O179*IFERROR(VLOOKUP($A179&amp;"|Aug",Lists!$J:$L,2,FALSE),0)*IFERROR(VLOOKUP($A179&amp;"|Aug",Lists!$J:$L,3,FALSE),0))</f>
        <v/>
      </c>
      <c r="AB179" s="16">
        <f>IF(P179="","",P179*IFERROR(VLOOKUP($A179&amp;"|Sep",Lists!$J:$L,2,FALSE),0)*IFERROR(VLOOKUP($A179&amp;"|Sep",Lists!$J:$L,3,FALSE),0))</f>
        <v/>
      </c>
      <c r="AC179" s="16">
        <f>IF(Q179="","",Q179*IFERROR(VLOOKUP($A179&amp;"|Oct",Lists!$J:$L,2,FALSE),0)*IFERROR(VLOOKUP($A179&amp;"|Oct",Lists!$J:$L,3,FALSE),0))</f>
        <v/>
      </c>
      <c r="AD179" s="16">
        <f>IF(R179="","",R179*IFERROR(VLOOKUP($A179&amp;"|Nov",Lists!$J:$L,2,FALSE),0)*IFERROR(VLOOKUP($A179&amp;"|Nov",Lists!$J:$L,3,FALSE),0))</f>
        <v/>
      </c>
      <c r="AE179" s="16">
        <f>IF(S179="","",S179*IFERROR(VLOOKUP($A179&amp;"|Dec",Lists!$J:$L,2,FALSE),0)*IFERROR(VLOOKUP($A179&amp;"|Dec",Lists!$J:$L,3,FALSE),0))</f>
        <v/>
      </c>
    </row>
    <row r="180">
      <c r="T180" s="19">
        <f>IF($A180="","",VLOOKUP($A180,DevRateTable,3,FALSE))</f>
        <v/>
      </c>
      <c r="U180" s="16">
        <f>IF(I180="","",I180*IFERROR(VLOOKUP($A180&amp;"|Feb",Lists!$J:$L,2,FALSE),0)*IFERROR(VLOOKUP($A180&amp;"|Feb",Lists!$J:$L,3,FALSE),0))</f>
        <v/>
      </c>
      <c r="V180" s="16">
        <f>IF(J180="","",J180*IFERROR(VLOOKUP($A180&amp;"|Mar",Lists!$J:$L,2,FALSE),0)*IFERROR(VLOOKUP($A180&amp;"|Mar",Lists!$J:$L,3,FALSE),0))</f>
        <v/>
      </c>
      <c r="W180" s="16">
        <f>IF(K180="","",K180*IFERROR(VLOOKUP($A180&amp;"|Apr",Lists!$J:$L,2,FALSE),0)*IFERROR(VLOOKUP($A180&amp;"|Apr",Lists!$J:$L,3,FALSE),0))</f>
        <v/>
      </c>
      <c r="X180" s="16">
        <f>IF(L180="","",L180*IFERROR(VLOOKUP($A180&amp;"|May",Lists!$J:$L,2,FALSE),0)*IFERROR(VLOOKUP($A180&amp;"|May",Lists!$J:$L,3,FALSE),0))</f>
        <v/>
      </c>
      <c r="Y180" s="16">
        <f>IF(M180="","",M180*IFERROR(VLOOKUP($A180&amp;"|Jun",Lists!$J:$L,2,FALSE),0)*IFERROR(VLOOKUP($A180&amp;"|Jun",Lists!$J:$L,3,FALSE),0))</f>
        <v/>
      </c>
      <c r="Z180" s="16">
        <f>IF(N180="","",N180*IFERROR(VLOOKUP($A180&amp;"|Jul",Lists!$J:$L,2,FALSE),0)*IFERROR(VLOOKUP($A180&amp;"|Jul",Lists!$J:$L,3,FALSE),0))</f>
        <v/>
      </c>
      <c r="AA180" s="16">
        <f>IF(O180="","",O180*IFERROR(VLOOKUP($A180&amp;"|Aug",Lists!$J:$L,2,FALSE),0)*IFERROR(VLOOKUP($A180&amp;"|Aug",Lists!$J:$L,3,FALSE),0))</f>
        <v/>
      </c>
      <c r="AB180" s="16">
        <f>IF(P180="","",P180*IFERROR(VLOOKUP($A180&amp;"|Sep",Lists!$J:$L,2,FALSE),0)*IFERROR(VLOOKUP($A180&amp;"|Sep",Lists!$J:$L,3,FALSE),0))</f>
        <v/>
      </c>
      <c r="AC180" s="16">
        <f>IF(Q180="","",Q180*IFERROR(VLOOKUP($A180&amp;"|Oct",Lists!$J:$L,2,FALSE),0)*IFERROR(VLOOKUP($A180&amp;"|Oct",Lists!$J:$L,3,FALSE),0))</f>
        <v/>
      </c>
      <c r="AD180" s="16">
        <f>IF(R180="","",R180*IFERROR(VLOOKUP($A180&amp;"|Nov",Lists!$J:$L,2,FALSE),0)*IFERROR(VLOOKUP($A180&amp;"|Nov",Lists!$J:$L,3,FALSE),0))</f>
        <v/>
      </c>
      <c r="AE180" s="16">
        <f>IF(S180="","",S180*IFERROR(VLOOKUP($A180&amp;"|Dec",Lists!$J:$L,2,FALSE),0)*IFERROR(VLOOKUP($A180&amp;"|Dec",Lists!$J:$L,3,FALSE),0))</f>
        <v/>
      </c>
    </row>
    <row r="181">
      <c r="T181" s="19">
        <f>IF($A181="","",VLOOKUP($A181,DevRateTable,3,FALSE))</f>
        <v/>
      </c>
      <c r="U181" s="16">
        <f>IF(I181="","",I181*IFERROR(VLOOKUP($A181&amp;"|Feb",Lists!$J:$L,2,FALSE),0)*IFERROR(VLOOKUP($A181&amp;"|Feb",Lists!$J:$L,3,FALSE),0))</f>
        <v/>
      </c>
      <c r="V181" s="16">
        <f>IF(J181="","",J181*IFERROR(VLOOKUP($A181&amp;"|Mar",Lists!$J:$L,2,FALSE),0)*IFERROR(VLOOKUP($A181&amp;"|Mar",Lists!$J:$L,3,FALSE),0))</f>
        <v/>
      </c>
      <c r="W181" s="16">
        <f>IF(K181="","",K181*IFERROR(VLOOKUP($A181&amp;"|Apr",Lists!$J:$L,2,FALSE),0)*IFERROR(VLOOKUP($A181&amp;"|Apr",Lists!$J:$L,3,FALSE),0))</f>
        <v/>
      </c>
      <c r="X181" s="16">
        <f>IF(L181="","",L181*IFERROR(VLOOKUP($A181&amp;"|May",Lists!$J:$L,2,FALSE),0)*IFERROR(VLOOKUP($A181&amp;"|May",Lists!$J:$L,3,FALSE),0))</f>
        <v/>
      </c>
      <c r="Y181" s="16">
        <f>IF(M181="","",M181*IFERROR(VLOOKUP($A181&amp;"|Jun",Lists!$J:$L,2,FALSE),0)*IFERROR(VLOOKUP($A181&amp;"|Jun",Lists!$J:$L,3,FALSE),0))</f>
        <v/>
      </c>
      <c r="Z181" s="16">
        <f>IF(N181="","",N181*IFERROR(VLOOKUP($A181&amp;"|Jul",Lists!$J:$L,2,FALSE),0)*IFERROR(VLOOKUP($A181&amp;"|Jul",Lists!$J:$L,3,FALSE),0))</f>
        <v/>
      </c>
      <c r="AA181" s="16">
        <f>IF(O181="","",O181*IFERROR(VLOOKUP($A181&amp;"|Aug",Lists!$J:$L,2,FALSE),0)*IFERROR(VLOOKUP($A181&amp;"|Aug",Lists!$J:$L,3,FALSE),0))</f>
        <v/>
      </c>
      <c r="AB181" s="16">
        <f>IF(P181="","",P181*IFERROR(VLOOKUP($A181&amp;"|Sep",Lists!$J:$L,2,FALSE),0)*IFERROR(VLOOKUP($A181&amp;"|Sep",Lists!$J:$L,3,FALSE),0))</f>
        <v/>
      </c>
      <c r="AC181" s="16">
        <f>IF(Q181="","",Q181*IFERROR(VLOOKUP($A181&amp;"|Oct",Lists!$J:$L,2,FALSE),0)*IFERROR(VLOOKUP($A181&amp;"|Oct",Lists!$J:$L,3,FALSE),0))</f>
        <v/>
      </c>
      <c r="AD181" s="16">
        <f>IF(R181="","",R181*IFERROR(VLOOKUP($A181&amp;"|Nov",Lists!$J:$L,2,FALSE),0)*IFERROR(VLOOKUP($A181&amp;"|Nov",Lists!$J:$L,3,FALSE),0))</f>
        <v/>
      </c>
      <c r="AE181" s="16">
        <f>IF(S181="","",S181*IFERROR(VLOOKUP($A181&amp;"|Dec",Lists!$J:$L,2,FALSE),0)*IFERROR(VLOOKUP($A181&amp;"|Dec",Lists!$J:$L,3,FALSE),0))</f>
        <v/>
      </c>
    </row>
    <row r="182">
      <c r="T182" s="19">
        <f>IF($A182="","",VLOOKUP($A182,DevRateTable,3,FALSE))</f>
        <v/>
      </c>
      <c r="U182" s="16">
        <f>IF(I182="","",I182*IFERROR(VLOOKUP($A182&amp;"|Feb",Lists!$J:$L,2,FALSE),0)*IFERROR(VLOOKUP($A182&amp;"|Feb",Lists!$J:$L,3,FALSE),0))</f>
        <v/>
      </c>
      <c r="V182" s="16">
        <f>IF(J182="","",J182*IFERROR(VLOOKUP($A182&amp;"|Mar",Lists!$J:$L,2,FALSE),0)*IFERROR(VLOOKUP($A182&amp;"|Mar",Lists!$J:$L,3,FALSE),0))</f>
        <v/>
      </c>
      <c r="W182" s="16">
        <f>IF(K182="","",K182*IFERROR(VLOOKUP($A182&amp;"|Apr",Lists!$J:$L,2,FALSE),0)*IFERROR(VLOOKUP($A182&amp;"|Apr",Lists!$J:$L,3,FALSE),0))</f>
        <v/>
      </c>
      <c r="X182" s="16">
        <f>IF(L182="","",L182*IFERROR(VLOOKUP($A182&amp;"|May",Lists!$J:$L,2,FALSE),0)*IFERROR(VLOOKUP($A182&amp;"|May",Lists!$J:$L,3,FALSE),0))</f>
        <v/>
      </c>
      <c r="Y182" s="16">
        <f>IF(M182="","",M182*IFERROR(VLOOKUP($A182&amp;"|Jun",Lists!$J:$L,2,FALSE),0)*IFERROR(VLOOKUP($A182&amp;"|Jun",Lists!$J:$L,3,FALSE),0))</f>
        <v/>
      </c>
      <c r="Z182" s="16">
        <f>IF(N182="","",N182*IFERROR(VLOOKUP($A182&amp;"|Jul",Lists!$J:$L,2,FALSE),0)*IFERROR(VLOOKUP($A182&amp;"|Jul",Lists!$J:$L,3,FALSE),0))</f>
        <v/>
      </c>
      <c r="AA182" s="16">
        <f>IF(O182="","",O182*IFERROR(VLOOKUP($A182&amp;"|Aug",Lists!$J:$L,2,FALSE),0)*IFERROR(VLOOKUP($A182&amp;"|Aug",Lists!$J:$L,3,FALSE),0))</f>
        <v/>
      </c>
      <c r="AB182" s="16">
        <f>IF(P182="","",P182*IFERROR(VLOOKUP($A182&amp;"|Sep",Lists!$J:$L,2,FALSE),0)*IFERROR(VLOOKUP($A182&amp;"|Sep",Lists!$J:$L,3,FALSE),0))</f>
        <v/>
      </c>
      <c r="AC182" s="16">
        <f>IF(Q182="","",Q182*IFERROR(VLOOKUP($A182&amp;"|Oct",Lists!$J:$L,2,FALSE),0)*IFERROR(VLOOKUP($A182&amp;"|Oct",Lists!$J:$L,3,FALSE),0))</f>
        <v/>
      </c>
      <c r="AD182" s="16">
        <f>IF(R182="","",R182*IFERROR(VLOOKUP($A182&amp;"|Nov",Lists!$J:$L,2,FALSE),0)*IFERROR(VLOOKUP($A182&amp;"|Nov",Lists!$J:$L,3,FALSE),0))</f>
        <v/>
      </c>
      <c r="AE182" s="16">
        <f>IF(S182="","",S182*IFERROR(VLOOKUP($A182&amp;"|Dec",Lists!$J:$L,2,FALSE),0)*IFERROR(VLOOKUP($A182&amp;"|Dec",Lists!$J:$L,3,FALSE),0))</f>
        <v/>
      </c>
    </row>
    <row r="183">
      <c r="T183" s="19">
        <f>IF($A183="","",VLOOKUP($A183,DevRateTable,3,FALSE))</f>
        <v/>
      </c>
      <c r="U183" s="16">
        <f>IF(I183="","",I183*IFERROR(VLOOKUP($A183&amp;"|Feb",Lists!$J:$L,2,FALSE),0)*IFERROR(VLOOKUP($A183&amp;"|Feb",Lists!$J:$L,3,FALSE),0))</f>
        <v/>
      </c>
      <c r="V183" s="16">
        <f>IF(J183="","",J183*IFERROR(VLOOKUP($A183&amp;"|Mar",Lists!$J:$L,2,FALSE),0)*IFERROR(VLOOKUP($A183&amp;"|Mar",Lists!$J:$L,3,FALSE),0))</f>
        <v/>
      </c>
      <c r="W183" s="16">
        <f>IF(K183="","",K183*IFERROR(VLOOKUP($A183&amp;"|Apr",Lists!$J:$L,2,FALSE),0)*IFERROR(VLOOKUP($A183&amp;"|Apr",Lists!$J:$L,3,FALSE),0))</f>
        <v/>
      </c>
      <c r="X183" s="16">
        <f>IF(L183="","",L183*IFERROR(VLOOKUP($A183&amp;"|May",Lists!$J:$L,2,FALSE),0)*IFERROR(VLOOKUP($A183&amp;"|May",Lists!$J:$L,3,FALSE),0))</f>
        <v/>
      </c>
      <c r="Y183" s="16">
        <f>IF(M183="","",M183*IFERROR(VLOOKUP($A183&amp;"|Jun",Lists!$J:$L,2,FALSE),0)*IFERROR(VLOOKUP($A183&amp;"|Jun",Lists!$J:$L,3,FALSE),0))</f>
        <v/>
      </c>
      <c r="Z183" s="16">
        <f>IF(N183="","",N183*IFERROR(VLOOKUP($A183&amp;"|Jul",Lists!$J:$L,2,FALSE),0)*IFERROR(VLOOKUP($A183&amp;"|Jul",Lists!$J:$L,3,FALSE),0))</f>
        <v/>
      </c>
      <c r="AA183" s="16">
        <f>IF(O183="","",O183*IFERROR(VLOOKUP($A183&amp;"|Aug",Lists!$J:$L,2,FALSE),0)*IFERROR(VLOOKUP($A183&amp;"|Aug",Lists!$J:$L,3,FALSE),0))</f>
        <v/>
      </c>
      <c r="AB183" s="16">
        <f>IF(P183="","",P183*IFERROR(VLOOKUP($A183&amp;"|Sep",Lists!$J:$L,2,FALSE),0)*IFERROR(VLOOKUP($A183&amp;"|Sep",Lists!$J:$L,3,FALSE),0))</f>
        <v/>
      </c>
      <c r="AC183" s="16">
        <f>IF(Q183="","",Q183*IFERROR(VLOOKUP($A183&amp;"|Oct",Lists!$J:$L,2,FALSE),0)*IFERROR(VLOOKUP($A183&amp;"|Oct",Lists!$J:$L,3,FALSE),0))</f>
        <v/>
      </c>
      <c r="AD183" s="16">
        <f>IF(R183="","",R183*IFERROR(VLOOKUP($A183&amp;"|Nov",Lists!$J:$L,2,FALSE),0)*IFERROR(VLOOKUP($A183&amp;"|Nov",Lists!$J:$L,3,FALSE),0))</f>
        <v/>
      </c>
      <c r="AE183" s="16">
        <f>IF(S183="","",S183*IFERROR(VLOOKUP($A183&amp;"|Dec",Lists!$J:$L,2,FALSE),0)*IFERROR(VLOOKUP($A183&amp;"|Dec",Lists!$J:$L,3,FALSE),0))</f>
        <v/>
      </c>
    </row>
    <row r="184">
      <c r="T184" s="19">
        <f>IF($A184="","",VLOOKUP($A184,DevRateTable,3,FALSE))</f>
        <v/>
      </c>
      <c r="U184" s="16">
        <f>IF(I184="","",I184*IFERROR(VLOOKUP($A184&amp;"|Feb",Lists!$J:$L,2,FALSE),0)*IFERROR(VLOOKUP($A184&amp;"|Feb",Lists!$J:$L,3,FALSE),0))</f>
        <v/>
      </c>
      <c r="V184" s="16">
        <f>IF(J184="","",J184*IFERROR(VLOOKUP($A184&amp;"|Mar",Lists!$J:$L,2,FALSE),0)*IFERROR(VLOOKUP($A184&amp;"|Mar",Lists!$J:$L,3,FALSE),0))</f>
        <v/>
      </c>
      <c r="W184" s="16">
        <f>IF(K184="","",K184*IFERROR(VLOOKUP($A184&amp;"|Apr",Lists!$J:$L,2,FALSE),0)*IFERROR(VLOOKUP($A184&amp;"|Apr",Lists!$J:$L,3,FALSE),0))</f>
        <v/>
      </c>
      <c r="X184" s="16">
        <f>IF(L184="","",L184*IFERROR(VLOOKUP($A184&amp;"|May",Lists!$J:$L,2,FALSE),0)*IFERROR(VLOOKUP($A184&amp;"|May",Lists!$J:$L,3,FALSE),0))</f>
        <v/>
      </c>
      <c r="Y184" s="16">
        <f>IF(M184="","",M184*IFERROR(VLOOKUP($A184&amp;"|Jun",Lists!$J:$L,2,FALSE),0)*IFERROR(VLOOKUP($A184&amp;"|Jun",Lists!$J:$L,3,FALSE),0))</f>
        <v/>
      </c>
      <c r="Z184" s="16">
        <f>IF(N184="","",N184*IFERROR(VLOOKUP($A184&amp;"|Jul",Lists!$J:$L,2,FALSE),0)*IFERROR(VLOOKUP($A184&amp;"|Jul",Lists!$J:$L,3,FALSE),0))</f>
        <v/>
      </c>
      <c r="AA184" s="16">
        <f>IF(O184="","",O184*IFERROR(VLOOKUP($A184&amp;"|Aug",Lists!$J:$L,2,FALSE),0)*IFERROR(VLOOKUP($A184&amp;"|Aug",Lists!$J:$L,3,FALSE),0))</f>
        <v/>
      </c>
      <c r="AB184" s="16">
        <f>IF(P184="","",P184*IFERROR(VLOOKUP($A184&amp;"|Sep",Lists!$J:$L,2,FALSE),0)*IFERROR(VLOOKUP($A184&amp;"|Sep",Lists!$J:$L,3,FALSE),0))</f>
        <v/>
      </c>
      <c r="AC184" s="16">
        <f>IF(Q184="","",Q184*IFERROR(VLOOKUP($A184&amp;"|Oct",Lists!$J:$L,2,FALSE),0)*IFERROR(VLOOKUP($A184&amp;"|Oct",Lists!$J:$L,3,FALSE),0))</f>
        <v/>
      </c>
      <c r="AD184" s="16">
        <f>IF(R184="","",R184*IFERROR(VLOOKUP($A184&amp;"|Nov",Lists!$J:$L,2,FALSE),0)*IFERROR(VLOOKUP($A184&amp;"|Nov",Lists!$J:$L,3,FALSE),0))</f>
        <v/>
      </c>
      <c r="AE184" s="16">
        <f>IF(S184="","",S184*IFERROR(VLOOKUP($A184&amp;"|Dec",Lists!$J:$L,2,FALSE),0)*IFERROR(VLOOKUP($A184&amp;"|Dec",Lists!$J:$L,3,FALSE),0))</f>
        <v/>
      </c>
    </row>
    <row r="185">
      <c r="T185" s="19">
        <f>IF($A185="","",VLOOKUP($A185,DevRateTable,3,FALSE))</f>
        <v/>
      </c>
      <c r="U185" s="16">
        <f>IF(I185="","",I185*IFERROR(VLOOKUP($A185&amp;"|Feb",Lists!$J:$L,2,FALSE),0)*IFERROR(VLOOKUP($A185&amp;"|Feb",Lists!$J:$L,3,FALSE),0))</f>
        <v/>
      </c>
      <c r="V185" s="16">
        <f>IF(J185="","",J185*IFERROR(VLOOKUP($A185&amp;"|Mar",Lists!$J:$L,2,FALSE),0)*IFERROR(VLOOKUP($A185&amp;"|Mar",Lists!$J:$L,3,FALSE),0))</f>
        <v/>
      </c>
      <c r="W185" s="16">
        <f>IF(K185="","",K185*IFERROR(VLOOKUP($A185&amp;"|Apr",Lists!$J:$L,2,FALSE),0)*IFERROR(VLOOKUP($A185&amp;"|Apr",Lists!$J:$L,3,FALSE),0))</f>
        <v/>
      </c>
      <c r="X185" s="16">
        <f>IF(L185="","",L185*IFERROR(VLOOKUP($A185&amp;"|May",Lists!$J:$L,2,FALSE),0)*IFERROR(VLOOKUP($A185&amp;"|May",Lists!$J:$L,3,FALSE),0))</f>
        <v/>
      </c>
      <c r="Y185" s="16">
        <f>IF(M185="","",M185*IFERROR(VLOOKUP($A185&amp;"|Jun",Lists!$J:$L,2,FALSE),0)*IFERROR(VLOOKUP($A185&amp;"|Jun",Lists!$J:$L,3,FALSE),0))</f>
        <v/>
      </c>
      <c r="Z185" s="16">
        <f>IF(N185="","",N185*IFERROR(VLOOKUP($A185&amp;"|Jul",Lists!$J:$L,2,FALSE),0)*IFERROR(VLOOKUP($A185&amp;"|Jul",Lists!$J:$L,3,FALSE),0))</f>
        <v/>
      </c>
      <c r="AA185" s="16">
        <f>IF(O185="","",O185*IFERROR(VLOOKUP($A185&amp;"|Aug",Lists!$J:$L,2,FALSE),0)*IFERROR(VLOOKUP($A185&amp;"|Aug",Lists!$J:$L,3,FALSE),0))</f>
        <v/>
      </c>
      <c r="AB185" s="16">
        <f>IF(P185="","",P185*IFERROR(VLOOKUP($A185&amp;"|Sep",Lists!$J:$L,2,FALSE),0)*IFERROR(VLOOKUP($A185&amp;"|Sep",Lists!$J:$L,3,FALSE),0))</f>
        <v/>
      </c>
      <c r="AC185" s="16">
        <f>IF(Q185="","",Q185*IFERROR(VLOOKUP($A185&amp;"|Oct",Lists!$J:$L,2,FALSE),0)*IFERROR(VLOOKUP($A185&amp;"|Oct",Lists!$J:$L,3,FALSE),0))</f>
        <v/>
      </c>
      <c r="AD185" s="16">
        <f>IF(R185="","",R185*IFERROR(VLOOKUP($A185&amp;"|Nov",Lists!$J:$L,2,FALSE),0)*IFERROR(VLOOKUP($A185&amp;"|Nov",Lists!$J:$L,3,FALSE),0))</f>
        <v/>
      </c>
      <c r="AE185" s="16">
        <f>IF(S185="","",S185*IFERROR(VLOOKUP($A185&amp;"|Dec",Lists!$J:$L,2,FALSE),0)*IFERROR(VLOOKUP($A185&amp;"|Dec",Lists!$J:$L,3,FALSE),0))</f>
        <v/>
      </c>
    </row>
    <row r="186">
      <c r="T186" s="19">
        <f>IF($A186="","",VLOOKUP($A186,DevRateTable,3,FALSE))</f>
        <v/>
      </c>
      <c r="U186" s="16">
        <f>IF(I186="","",I186*IFERROR(VLOOKUP($A186&amp;"|Feb",Lists!$J:$L,2,FALSE),0)*IFERROR(VLOOKUP($A186&amp;"|Feb",Lists!$J:$L,3,FALSE),0))</f>
        <v/>
      </c>
      <c r="V186" s="16">
        <f>IF(J186="","",J186*IFERROR(VLOOKUP($A186&amp;"|Mar",Lists!$J:$L,2,FALSE),0)*IFERROR(VLOOKUP($A186&amp;"|Mar",Lists!$J:$L,3,FALSE),0))</f>
        <v/>
      </c>
      <c r="W186" s="16">
        <f>IF(K186="","",K186*IFERROR(VLOOKUP($A186&amp;"|Apr",Lists!$J:$L,2,FALSE),0)*IFERROR(VLOOKUP($A186&amp;"|Apr",Lists!$J:$L,3,FALSE),0))</f>
        <v/>
      </c>
      <c r="X186" s="16">
        <f>IF(L186="","",L186*IFERROR(VLOOKUP($A186&amp;"|May",Lists!$J:$L,2,FALSE),0)*IFERROR(VLOOKUP($A186&amp;"|May",Lists!$J:$L,3,FALSE),0))</f>
        <v/>
      </c>
      <c r="Y186" s="16">
        <f>IF(M186="","",M186*IFERROR(VLOOKUP($A186&amp;"|Jun",Lists!$J:$L,2,FALSE),0)*IFERROR(VLOOKUP($A186&amp;"|Jun",Lists!$J:$L,3,FALSE),0))</f>
        <v/>
      </c>
      <c r="Z186" s="16">
        <f>IF(N186="","",N186*IFERROR(VLOOKUP($A186&amp;"|Jul",Lists!$J:$L,2,FALSE),0)*IFERROR(VLOOKUP($A186&amp;"|Jul",Lists!$J:$L,3,FALSE),0))</f>
        <v/>
      </c>
      <c r="AA186" s="16">
        <f>IF(O186="","",O186*IFERROR(VLOOKUP($A186&amp;"|Aug",Lists!$J:$L,2,FALSE),0)*IFERROR(VLOOKUP($A186&amp;"|Aug",Lists!$J:$L,3,FALSE),0))</f>
        <v/>
      </c>
      <c r="AB186" s="16">
        <f>IF(P186="","",P186*IFERROR(VLOOKUP($A186&amp;"|Sep",Lists!$J:$L,2,FALSE),0)*IFERROR(VLOOKUP($A186&amp;"|Sep",Lists!$J:$L,3,FALSE),0))</f>
        <v/>
      </c>
      <c r="AC186" s="16">
        <f>IF(Q186="","",Q186*IFERROR(VLOOKUP($A186&amp;"|Oct",Lists!$J:$L,2,FALSE),0)*IFERROR(VLOOKUP($A186&amp;"|Oct",Lists!$J:$L,3,FALSE),0))</f>
        <v/>
      </c>
      <c r="AD186" s="16">
        <f>IF(R186="","",R186*IFERROR(VLOOKUP($A186&amp;"|Nov",Lists!$J:$L,2,FALSE),0)*IFERROR(VLOOKUP($A186&amp;"|Nov",Lists!$J:$L,3,FALSE),0))</f>
        <v/>
      </c>
      <c r="AE186" s="16">
        <f>IF(S186="","",S186*IFERROR(VLOOKUP($A186&amp;"|Dec",Lists!$J:$L,2,FALSE),0)*IFERROR(VLOOKUP($A186&amp;"|Dec",Lists!$J:$L,3,FALSE),0))</f>
        <v/>
      </c>
    </row>
    <row r="187">
      <c r="T187" s="19">
        <f>IF($A187="","",VLOOKUP($A187,DevRateTable,3,FALSE))</f>
        <v/>
      </c>
      <c r="U187" s="16">
        <f>IF(I187="","",I187*IFERROR(VLOOKUP($A187&amp;"|Feb",Lists!$J:$L,2,FALSE),0)*IFERROR(VLOOKUP($A187&amp;"|Feb",Lists!$J:$L,3,FALSE),0))</f>
        <v/>
      </c>
      <c r="V187" s="16">
        <f>IF(J187="","",J187*IFERROR(VLOOKUP($A187&amp;"|Mar",Lists!$J:$L,2,FALSE),0)*IFERROR(VLOOKUP($A187&amp;"|Mar",Lists!$J:$L,3,FALSE),0))</f>
        <v/>
      </c>
      <c r="W187" s="16">
        <f>IF(K187="","",K187*IFERROR(VLOOKUP($A187&amp;"|Apr",Lists!$J:$L,2,FALSE),0)*IFERROR(VLOOKUP($A187&amp;"|Apr",Lists!$J:$L,3,FALSE),0))</f>
        <v/>
      </c>
      <c r="X187" s="16">
        <f>IF(L187="","",L187*IFERROR(VLOOKUP($A187&amp;"|May",Lists!$J:$L,2,FALSE),0)*IFERROR(VLOOKUP($A187&amp;"|May",Lists!$J:$L,3,FALSE),0))</f>
        <v/>
      </c>
      <c r="Y187" s="16">
        <f>IF(M187="","",M187*IFERROR(VLOOKUP($A187&amp;"|Jun",Lists!$J:$L,2,FALSE),0)*IFERROR(VLOOKUP($A187&amp;"|Jun",Lists!$J:$L,3,FALSE),0))</f>
        <v/>
      </c>
      <c r="Z187" s="16">
        <f>IF(N187="","",N187*IFERROR(VLOOKUP($A187&amp;"|Jul",Lists!$J:$L,2,FALSE),0)*IFERROR(VLOOKUP($A187&amp;"|Jul",Lists!$J:$L,3,FALSE),0))</f>
        <v/>
      </c>
      <c r="AA187" s="16">
        <f>IF(O187="","",O187*IFERROR(VLOOKUP($A187&amp;"|Aug",Lists!$J:$L,2,FALSE),0)*IFERROR(VLOOKUP($A187&amp;"|Aug",Lists!$J:$L,3,FALSE),0))</f>
        <v/>
      </c>
      <c r="AB187" s="16">
        <f>IF(P187="","",P187*IFERROR(VLOOKUP($A187&amp;"|Sep",Lists!$J:$L,2,FALSE),0)*IFERROR(VLOOKUP($A187&amp;"|Sep",Lists!$J:$L,3,FALSE),0))</f>
        <v/>
      </c>
      <c r="AC187" s="16">
        <f>IF(Q187="","",Q187*IFERROR(VLOOKUP($A187&amp;"|Oct",Lists!$J:$L,2,FALSE),0)*IFERROR(VLOOKUP($A187&amp;"|Oct",Lists!$J:$L,3,FALSE),0))</f>
        <v/>
      </c>
      <c r="AD187" s="16">
        <f>IF(R187="","",R187*IFERROR(VLOOKUP($A187&amp;"|Nov",Lists!$J:$L,2,FALSE),0)*IFERROR(VLOOKUP($A187&amp;"|Nov",Lists!$J:$L,3,FALSE),0))</f>
        <v/>
      </c>
      <c r="AE187" s="16">
        <f>IF(S187="","",S187*IFERROR(VLOOKUP($A187&amp;"|Dec",Lists!$J:$L,2,FALSE),0)*IFERROR(VLOOKUP($A187&amp;"|Dec",Lists!$J:$L,3,FALSE),0))</f>
        <v/>
      </c>
    </row>
    <row r="188">
      <c r="T188" s="19">
        <f>IF($A188="","",VLOOKUP($A188,DevRateTable,3,FALSE))</f>
        <v/>
      </c>
      <c r="U188" s="16">
        <f>IF(I188="","",I188*IFERROR(VLOOKUP($A188&amp;"|Feb",Lists!$J:$L,2,FALSE),0)*IFERROR(VLOOKUP($A188&amp;"|Feb",Lists!$J:$L,3,FALSE),0))</f>
        <v/>
      </c>
      <c r="V188" s="16">
        <f>IF(J188="","",J188*IFERROR(VLOOKUP($A188&amp;"|Mar",Lists!$J:$L,2,FALSE),0)*IFERROR(VLOOKUP($A188&amp;"|Mar",Lists!$J:$L,3,FALSE),0))</f>
        <v/>
      </c>
      <c r="W188" s="16">
        <f>IF(K188="","",K188*IFERROR(VLOOKUP($A188&amp;"|Apr",Lists!$J:$L,2,FALSE),0)*IFERROR(VLOOKUP($A188&amp;"|Apr",Lists!$J:$L,3,FALSE),0))</f>
        <v/>
      </c>
      <c r="X188" s="16">
        <f>IF(L188="","",L188*IFERROR(VLOOKUP($A188&amp;"|May",Lists!$J:$L,2,FALSE),0)*IFERROR(VLOOKUP($A188&amp;"|May",Lists!$J:$L,3,FALSE),0))</f>
        <v/>
      </c>
      <c r="Y188" s="16">
        <f>IF(M188="","",M188*IFERROR(VLOOKUP($A188&amp;"|Jun",Lists!$J:$L,2,FALSE),0)*IFERROR(VLOOKUP($A188&amp;"|Jun",Lists!$J:$L,3,FALSE),0))</f>
        <v/>
      </c>
      <c r="Z188" s="16">
        <f>IF(N188="","",N188*IFERROR(VLOOKUP($A188&amp;"|Jul",Lists!$J:$L,2,FALSE),0)*IFERROR(VLOOKUP($A188&amp;"|Jul",Lists!$J:$L,3,FALSE),0))</f>
        <v/>
      </c>
      <c r="AA188" s="16">
        <f>IF(O188="","",O188*IFERROR(VLOOKUP($A188&amp;"|Aug",Lists!$J:$L,2,FALSE),0)*IFERROR(VLOOKUP($A188&amp;"|Aug",Lists!$J:$L,3,FALSE),0))</f>
        <v/>
      </c>
      <c r="AB188" s="16">
        <f>IF(P188="","",P188*IFERROR(VLOOKUP($A188&amp;"|Sep",Lists!$J:$L,2,FALSE),0)*IFERROR(VLOOKUP($A188&amp;"|Sep",Lists!$J:$L,3,FALSE),0))</f>
        <v/>
      </c>
      <c r="AC188" s="16">
        <f>IF(Q188="","",Q188*IFERROR(VLOOKUP($A188&amp;"|Oct",Lists!$J:$L,2,FALSE),0)*IFERROR(VLOOKUP($A188&amp;"|Oct",Lists!$J:$L,3,FALSE),0))</f>
        <v/>
      </c>
      <c r="AD188" s="16">
        <f>IF(R188="","",R188*IFERROR(VLOOKUP($A188&amp;"|Nov",Lists!$J:$L,2,FALSE),0)*IFERROR(VLOOKUP($A188&amp;"|Nov",Lists!$J:$L,3,FALSE),0))</f>
        <v/>
      </c>
      <c r="AE188" s="16">
        <f>IF(S188="","",S188*IFERROR(VLOOKUP($A188&amp;"|Dec",Lists!$J:$L,2,FALSE),0)*IFERROR(VLOOKUP($A188&amp;"|Dec",Lists!$J:$L,3,FALSE),0))</f>
        <v/>
      </c>
    </row>
    <row r="189">
      <c r="T189" s="19">
        <f>IF($A189="","",VLOOKUP($A189,DevRateTable,3,FALSE))</f>
        <v/>
      </c>
      <c r="U189" s="16">
        <f>IF(I189="","",I189*IFERROR(VLOOKUP($A189&amp;"|Feb",Lists!$J:$L,2,FALSE),0)*IFERROR(VLOOKUP($A189&amp;"|Feb",Lists!$J:$L,3,FALSE),0))</f>
        <v/>
      </c>
      <c r="V189" s="16">
        <f>IF(J189="","",J189*IFERROR(VLOOKUP($A189&amp;"|Mar",Lists!$J:$L,2,FALSE),0)*IFERROR(VLOOKUP($A189&amp;"|Mar",Lists!$J:$L,3,FALSE),0))</f>
        <v/>
      </c>
      <c r="W189" s="16">
        <f>IF(K189="","",K189*IFERROR(VLOOKUP($A189&amp;"|Apr",Lists!$J:$L,2,FALSE),0)*IFERROR(VLOOKUP($A189&amp;"|Apr",Lists!$J:$L,3,FALSE),0))</f>
        <v/>
      </c>
      <c r="X189" s="16">
        <f>IF(L189="","",L189*IFERROR(VLOOKUP($A189&amp;"|May",Lists!$J:$L,2,FALSE),0)*IFERROR(VLOOKUP($A189&amp;"|May",Lists!$J:$L,3,FALSE),0))</f>
        <v/>
      </c>
      <c r="Y189" s="16">
        <f>IF(M189="","",M189*IFERROR(VLOOKUP($A189&amp;"|Jun",Lists!$J:$L,2,FALSE),0)*IFERROR(VLOOKUP($A189&amp;"|Jun",Lists!$J:$L,3,FALSE),0))</f>
        <v/>
      </c>
      <c r="Z189" s="16">
        <f>IF(N189="","",N189*IFERROR(VLOOKUP($A189&amp;"|Jul",Lists!$J:$L,2,FALSE),0)*IFERROR(VLOOKUP($A189&amp;"|Jul",Lists!$J:$L,3,FALSE),0))</f>
        <v/>
      </c>
      <c r="AA189" s="16">
        <f>IF(O189="","",O189*IFERROR(VLOOKUP($A189&amp;"|Aug",Lists!$J:$L,2,FALSE),0)*IFERROR(VLOOKUP($A189&amp;"|Aug",Lists!$J:$L,3,FALSE),0))</f>
        <v/>
      </c>
      <c r="AB189" s="16">
        <f>IF(P189="","",P189*IFERROR(VLOOKUP($A189&amp;"|Sep",Lists!$J:$L,2,FALSE),0)*IFERROR(VLOOKUP($A189&amp;"|Sep",Lists!$J:$L,3,FALSE),0))</f>
        <v/>
      </c>
      <c r="AC189" s="16">
        <f>IF(Q189="","",Q189*IFERROR(VLOOKUP($A189&amp;"|Oct",Lists!$J:$L,2,FALSE),0)*IFERROR(VLOOKUP($A189&amp;"|Oct",Lists!$J:$L,3,FALSE),0))</f>
        <v/>
      </c>
      <c r="AD189" s="16">
        <f>IF(R189="","",R189*IFERROR(VLOOKUP($A189&amp;"|Nov",Lists!$J:$L,2,FALSE),0)*IFERROR(VLOOKUP($A189&amp;"|Nov",Lists!$J:$L,3,FALSE),0))</f>
        <v/>
      </c>
      <c r="AE189" s="16">
        <f>IF(S189="","",S189*IFERROR(VLOOKUP($A189&amp;"|Dec",Lists!$J:$L,2,FALSE),0)*IFERROR(VLOOKUP($A189&amp;"|Dec",Lists!$J:$L,3,FALSE),0))</f>
        <v/>
      </c>
    </row>
    <row r="190">
      <c r="T190" s="19">
        <f>IF($A190="","",VLOOKUP($A190,DevRateTable,3,FALSE))</f>
        <v/>
      </c>
      <c r="U190" s="16">
        <f>IF(I190="","",I190*IFERROR(VLOOKUP($A190&amp;"|Feb",Lists!$J:$L,2,FALSE),0)*IFERROR(VLOOKUP($A190&amp;"|Feb",Lists!$J:$L,3,FALSE),0))</f>
        <v/>
      </c>
      <c r="V190" s="16">
        <f>IF(J190="","",J190*IFERROR(VLOOKUP($A190&amp;"|Mar",Lists!$J:$L,2,FALSE),0)*IFERROR(VLOOKUP($A190&amp;"|Mar",Lists!$J:$L,3,FALSE),0))</f>
        <v/>
      </c>
      <c r="W190" s="16">
        <f>IF(K190="","",K190*IFERROR(VLOOKUP($A190&amp;"|Apr",Lists!$J:$L,2,FALSE),0)*IFERROR(VLOOKUP($A190&amp;"|Apr",Lists!$J:$L,3,FALSE),0))</f>
        <v/>
      </c>
      <c r="X190" s="16">
        <f>IF(L190="","",L190*IFERROR(VLOOKUP($A190&amp;"|May",Lists!$J:$L,2,FALSE),0)*IFERROR(VLOOKUP($A190&amp;"|May",Lists!$J:$L,3,FALSE),0))</f>
        <v/>
      </c>
      <c r="Y190" s="16">
        <f>IF(M190="","",M190*IFERROR(VLOOKUP($A190&amp;"|Jun",Lists!$J:$L,2,FALSE),0)*IFERROR(VLOOKUP($A190&amp;"|Jun",Lists!$J:$L,3,FALSE),0))</f>
        <v/>
      </c>
      <c r="Z190" s="16">
        <f>IF(N190="","",N190*IFERROR(VLOOKUP($A190&amp;"|Jul",Lists!$J:$L,2,FALSE),0)*IFERROR(VLOOKUP($A190&amp;"|Jul",Lists!$J:$L,3,FALSE),0))</f>
        <v/>
      </c>
      <c r="AA190" s="16">
        <f>IF(O190="","",O190*IFERROR(VLOOKUP($A190&amp;"|Aug",Lists!$J:$L,2,FALSE),0)*IFERROR(VLOOKUP($A190&amp;"|Aug",Lists!$J:$L,3,FALSE),0))</f>
        <v/>
      </c>
      <c r="AB190" s="16">
        <f>IF(P190="","",P190*IFERROR(VLOOKUP($A190&amp;"|Sep",Lists!$J:$L,2,FALSE),0)*IFERROR(VLOOKUP($A190&amp;"|Sep",Lists!$J:$L,3,FALSE),0))</f>
        <v/>
      </c>
      <c r="AC190" s="16">
        <f>IF(Q190="","",Q190*IFERROR(VLOOKUP($A190&amp;"|Oct",Lists!$J:$L,2,FALSE),0)*IFERROR(VLOOKUP($A190&amp;"|Oct",Lists!$J:$L,3,FALSE),0))</f>
        <v/>
      </c>
      <c r="AD190" s="16">
        <f>IF(R190="","",R190*IFERROR(VLOOKUP($A190&amp;"|Nov",Lists!$J:$L,2,FALSE),0)*IFERROR(VLOOKUP($A190&amp;"|Nov",Lists!$J:$L,3,FALSE),0))</f>
        <v/>
      </c>
      <c r="AE190" s="16">
        <f>IF(S190="","",S190*IFERROR(VLOOKUP($A190&amp;"|Dec",Lists!$J:$L,2,FALSE),0)*IFERROR(VLOOKUP($A190&amp;"|Dec",Lists!$J:$L,3,FALSE),0))</f>
        <v/>
      </c>
    </row>
    <row r="191">
      <c r="T191" s="19">
        <f>IF($A191="","",VLOOKUP($A191,DevRateTable,3,FALSE))</f>
        <v/>
      </c>
      <c r="U191" s="16">
        <f>IF(I191="","",I191*IFERROR(VLOOKUP($A191&amp;"|Feb",Lists!$J:$L,2,FALSE),0)*IFERROR(VLOOKUP($A191&amp;"|Feb",Lists!$J:$L,3,FALSE),0))</f>
        <v/>
      </c>
      <c r="V191" s="16">
        <f>IF(J191="","",J191*IFERROR(VLOOKUP($A191&amp;"|Mar",Lists!$J:$L,2,FALSE),0)*IFERROR(VLOOKUP($A191&amp;"|Mar",Lists!$J:$L,3,FALSE),0))</f>
        <v/>
      </c>
      <c r="W191" s="16">
        <f>IF(K191="","",K191*IFERROR(VLOOKUP($A191&amp;"|Apr",Lists!$J:$L,2,FALSE),0)*IFERROR(VLOOKUP($A191&amp;"|Apr",Lists!$J:$L,3,FALSE),0))</f>
        <v/>
      </c>
      <c r="X191" s="16">
        <f>IF(L191="","",L191*IFERROR(VLOOKUP($A191&amp;"|May",Lists!$J:$L,2,FALSE),0)*IFERROR(VLOOKUP($A191&amp;"|May",Lists!$J:$L,3,FALSE),0))</f>
        <v/>
      </c>
      <c r="Y191" s="16">
        <f>IF(M191="","",M191*IFERROR(VLOOKUP($A191&amp;"|Jun",Lists!$J:$L,2,FALSE),0)*IFERROR(VLOOKUP($A191&amp;"|Jun",Lists!$J:$L,3,FALSE),0))</f>
        <v/>
      </c>
      <c r="Z191" s="16">
        <f>IF(N191="","",N191*IFERROR(VLOOKUP($A191&amp;"|Jul",Lists!$J:$L,2,FALSE),0)*IFERROR(VLOOKUP($A191&amp;"|Jul",Lists!$J:$L,3,FALSE),0))</f>
        <v/>
      </c>
      <c r="AA191" s="16">
        <f>IF(O191="","",O191*IFERROR(VLOOKUP($A191&amp;"|Aug",Lists!$J:$L,2,FALSE),0)*IFERROR(VLOOKUP($A191&amp;"|Aug",Lists!$J:$L,3,FALSE),0))</f>
        <v/>
      </c>
      <c r="AB191" s="16">
        <f>IF(P191="","",P191*IFERROR(VLOOKUP($A191&amp;"|Sep",Lists!$J:$L,2,FALSE),0)*IFERROR(VLOOKUP($A191&amp;"|Sep",Lists!$J:$L,3,FALSE),0))</f>
        <v/>
      </c>
      <c r="AC191" s="16">
        <f>IF(Q191="","",Q191*IFERROR(VLOOKUP($A191&amp;"|Oct",Lists!$J:$L,2,FALSE),0)*IFERROR(VLOOKUP($A191&amp;"|Oct",Lists!$J:$L,3,FALSE),0))</f>
        <v/>
      </c>
      <c r="AD191" s="16">
        <f>IF(R191="","",R191*IFERROR(VLOOKUP($A191&amp;"|Nov",Lists!$J:$L,2,FALSE),0)*IFERROR(VLOOKUP($A191&amp;"|Nov",Lists!$J:$L,3,FALSE),0))</f>
        <v/>
      </c>
      <c r="AE191" s="16">
        <f>IF(S191="","",S191*IFERROR(VLOOKUP($A191&amp;"|Dec",Lists!$J:$L,2,FALSE),0)*IFERROR(VLOOKUP($A191&amp;"|Dec",Lists!$J:$L,3,FALSE),0))</f>
        <v/>
      </c>
    </row>
    <row r="192">
      <c r="T192" s="19">
        <f>IF($A192="","",VLOOKUP($A192,DevRateTable,3,FALSE))</f>
        <v/>
      </c>
      <c r="U192" s="16">
        <f>IF(I192="","",I192*IFERROR(VLOOKUP($A192&amp;"|Feb",Lists!$J:$L,2,FALSE),0)*IFERROR(VLOOKUP($A192&amp;"|Feb",Lists!$J:$L,3,FALSE),0))</f>
        <v/>
      </c>
      <c r="V192" s="16">
        <f>IF(J192="","",J192*IFERROR(VLOOKUP($A192&amp;"|Mar",Lists!$J:$L,2,FALSE),0)*IFERROR(VLOOKUP($A192&amp;"|Mar",Lists!$J:$L,3,FALSE),0))</f>
        <v/>
      </c>
      <c r="W192" s="16">
        <f>IF(K192="","",K192*IFERROR(VLOOKUP($A192&amp;"|Apr",Lists!$J:$L,2,FALSE),0)*IFERROR(VLOOKUP($A192&amp;"|Apr",Lists!$J:$L,3,FALSE),0))</f>
        <v/>
      </c>
      <c r="X192" s="16">
        <f>IF(L192="","",L192*IFERROR(VLOOKUP($A192&amp;"|May",Lists!$J:$L,2,FALSE),0)*IFERROR(VLOOKUP($A192&amp;"|May",Lists!$J:$L,3,FALSE),0))</f>
        <v/>
      </c>
      <c r="Y192" s="16">
        <f>IF(M192="","",M192*IFERROR(VLOOKUP($A192&amp;"|Jun",Lists!$J:$L,2,FALSE),0)*IFERROR(VLOOKUP($A192&amp;"|Jun",Lists!$J:$L,3,FALSE),0))</f>
        <v/>
      </c>
      <c r="Z192" s="16">
        <f>IF(N192="","",N192*IFERROR(VLOOKUP($A192&amp;"|Jul",Lists!$J:$L,2,FALSE),0)*IFERROR(VLOOKUP($A192&amp;"|Jul",Lists!$J:$L,3,FALSE),0))</f>
        <v/>
      </c>
      <c r="AA192" s="16">
        <f>IF(O192="","",O192*IFERROR(VLOOKUP($A192&amp;"|Aug",Lists!$J:$L,2,FALSE),0)*IFERROR(VLOOKUP($A192&amp;"|Aug",Lists!$J:$L,3,FALSE),0))</f>
        <v/>
      </c>
      <c r="AB192" s="16">
        <f>IF(P192="","",P192*IFERROR(VLOOKUP($A192&amp;"|Sep",Lists!$J:$L,2,FALSE),0)*IFERROR(VLOOKUP($A192&amp;"|Sep",Lists!$J:$L,3,FALSE),0))</f>
        <v/>
      </c>
      <c r="AC192" s="16">
        <f>IF(Q192="","",Q192*IFERROR(VLOOKUP($A192&amp;"|Oct",Lists!$J:$L,2,FALSE),0)*IFERROR(VLOOKUP($A192&amp;"|Oct",Lists!$J:$L,3,FALSE),0))</f>
        <v/>
      </c>
      <c r="AD192" s="16">
        <f>IF(R192="","",R192*IFERROR(VLOOKUP($A192&amp;"|Nov",Lists!$J:$L,2,FALSE),0)*IFERROR(VLOOKUP($A192&amp;"|Nov",Lists!$J:$L,3,FALSE),0))</f>
        <v/>
      </c>
      <c r="AE192" s="16">
        <f>IF(S192="","",S192*IFERROR(VLOOKUP($A192&amp;"|Dec",Lists!$J:$L,2,FALSE),0)*IFERROR(VLOOKUP($A192&amp;"|Dec",Lists!$J:$L,3,FALSE),0))</f>
        <v/>
      </c>
    </row>
    <row r="193">
      <c r="T193" s="19">
        <f>IF($A193="","",VLOOKUP($A193,DevRateTable,3,FALSE))</f>
        <v/>
      </c>
      <c r="U193" s="16">
        <f>IF(I193="","",I193*IFERROR(VLOOKUP($A193&amp;"|Feb",Lists!$J:$L,2,FALSE),0)*IFERROR(VLOOKUP($A193&amp;"|Feb",Lists!$J:$L,3,FALSE),0))</f>
        <v/>
      </c>
      <c r="V193" s="16">
        <f>IF(J193="","",J193*IFERROR(VLOOKUP($A193&amp;"|Mar",Lists!$J:$L,2,FALSE),0)*IFERROR(VLOOKUP($A193&amp;"|Mar",Lists!$J:$L,3,FALSE),0))</f>
        <v/>
      </c>
      <c r="W193" s="16">
        <f>IF(K193="","",K193*IFERROR(VLOOKUP($A193&amp;"|Apr",Lists!$J:$L,2,FALSE),0)*IFERROR(VLOOKUP($A193&amp;"|Apr",Lists!$J:$L,3,FALSE),0))</f>
        <v/>
      </c>
      <c r="X193" s="16">
        <f>IF(L193="","",L193*IFERROR(VLOOKUP($A193&amp;"|May",Lists!$J:$L,2,FALSE),0)*IFERROR(VLOOKUP($A193&amp;"|May",Lists!$J:$L,3,FALSE),0))</f>
        <v/>
      </c>
      <c r="Y193" s="16">
        <f>IF(M193="","",M193*IFERROR(VLOOKUP($A193&amp;"|Jun",Lists!$J:$L,2,FALSE),0)*IFERROR(VLOOKUP($A193&amp;"|Jun",Lists!$J:$L,3,FALSE),0))</f>
        <v/>
      </c>
      <c r="Z193" s="16">
        <f>IF(N193="","",N193*IFERROR(VLOOKUP($A193&amp;"|Jul",Lists!$J:$L,2,FALSE),0)*IFERROR(VLOOKUP($A193&amp;"|Jul",Lists!$J:$L,3,FALSE),0))</f>
        <v/>
      </c>
      <c r="AA193" s="16">
        <f>IF(O193="","",O193*IFERROR(VLOOKUP($A193&amp;"|Aug",Lists!$J:$L,2,FALSE),0)*IFERROR(VLOOKUP($A193&amp;"|Aug",Lists!$J:$L,3,FALSE),0))</f>
        <v/>
      </c>
      <c r="AB193" s="16">
        <f>IF(P193="","",P193*IFERROR(VLOOKUP($A193&amp;"|Sep",Lists!$J:$L,2,FALSE),0)*IFERROR(VLOOKUP($A193&amp;"|Sep",Lists!$J:$L,3,FALSE),0))</f>
        <v/>
      </c>
      <c r="AC193" s="16">
        <f>IF(Q193="","",Q193*IFERROR(VLOOKUP($A193&amp;"|Oct",Lists!$J:$L,2,FALSE),0)*IFERROR(VLOOKUP($A193&amp;"|Oct",Lists!$J:$L,3,FALSE),0))</f>
        <v/>
      </c>
      <c r="AD193" s="16">
        <f>IF(R193="","",R193*IFERROR(VLOOKUP($A193&amp;"|Nov",Lists!$J:$L,2,FALSE),0)*IFERROR(VLOOKUP($A193&amp;"|Nov",Lists!$J:$L,3,FALSE),0))</f>
        <v/>
      </c>
      <c r="AE193" s="16">
        <f>IF(S193="","",S193*IFERROR(VLOOKUP($A193&amp;"|Dec",Lists!$J:$L,2,FALSE),0)*IFERROR(VLOOKUP($A193&amp;"|Dec",Lists!$J:$L,3,FALSE),0))</f>
        <v/>
      </c>
    </row>
    <row r="194">
      <c r="T194" s="19">
        <f>IF($A194="","",VLOOKUP($A194,DevRateTable,3,FALSE))</f>
        <v/>
      </c>
      <c r="U194" s="16">
        <f>IF(I194="","",I194*IFERROR(VLOOKUP($A194&amp;"|Feb",Lists!$J:$L,2,FALSE),0)*IFERROR(VLOOKUP($A194&amp;"|Feb",Lists!$J:$L,3,FALSE),0))</f>
        <v/>
      </c>
      <c r="V194" s="16">
        <f>IF(J194="","",J194*IFERROR(VLOOKUP($A194&amp;"|Mar",Lists!$J:$L,2,FALSE),0)*IFERROR(VLOOKUP($A194&amp;"|Mar",Lists!$J:$L,3,FALSE),0))</f>
        <v/>
      </c>
      <c r="W194" s="16">
        <f>IF(K194="","",K194*IFERROR(VLOOKUP($A194&amp;"|Apr",Lists!$J:$L,2,FALSE),0)*IFERROR(VLOOKUP($A194&amp;"|Apr",Lists!$J:$L,3,FALSE),0))</f>
        <v/>
      </c>
      <c r="X194" s="16">
        <f>IF(L194="","",L194*IFERROR(VLOOKUP($A194&amp;"|May",Lists!$J:$L,2,FALSE),0)*IFERROR(VLOOKUP($A194&amp;"|May",Lists!$J:$L,3,FALSE),0))</f>
        <v/>
      </c>
      <c r="Y194" s="16">
        <f>IF(M194="","",M194*IFERROR(VLOOKUP($A194&amp;"|Jun",Lists!$J:$L,2,FALSE),0)*IFERROR(VLOOKUP($A194&amp;"|Jun",Lists!$J:$L,3,FALSE),0))</f>
        <v/>
      </c>
      <c r="Z194" s="16">
        <f>IF(N194="","",N194*IFERROR(VLOOKUP($A194&amp;"|Jul",Lists!$J:$L,2,FALSE),0)*IFERROR(VLOOKUP($A194&amp;"|Jul",Lists!$J:$L,3,FALSE),0))</f>
        <v/>
      </c>
      <c r="AA194" s="16">
        <f>IF(O194="","",O194*IFERROR(VLOOKUP($A194&amp;"|Aug",Lists!$J:$L,2,FALSE),0)*IFERROR(VLOOKUP($A194&amp;"|Aug",Lists!$J:$L,3,FALSE),0))</f>
        <v/>
      </c>
      <c r="AB194" s="16">
        <f>IF(P194="","",P194*IFERROR(VLOOKUP($A194&amp;"|Sep",Lists!$J:$L,2,FALSE),0)*IFERROR(VLOOKUP($A194&amp;"|Sep",Lists!$J:$L,3,FALSE),0))</f>
        <v/>
      </c>
      <c r="AC194" s="16">
        <f>IF(Q194="","",Q194*IFERROR(VLOOKUP($A194&amp;"|Oct",Lists!$J:$L,2,FALSE),0)*IFERROR(VLOOKUP($A194&amp;"|Oct",Lists!$J:$L,3,FALSE),0))</f>
        <v/>
      </c>
      <c r="AD194" s="16">
        <f>IF(R194="","",R194*IFERROR(VLOOKUP($A194&amp;"|Nov",Lists!$J:$L,2,FALSE),0)*IFERROR(VLOOKUP($A194&amp;"|Nov",Lists!$J:$L,3,FALSE),0))</f>
        <v/>
      </c>
      <c r="AE194" s="16">
        <f>IF(S194="","",S194*IFERROR(VLOOKUP($A194&amp;"|Dec",Lists!$J:$L,2,FALSE),0)*IFERROR(VLOOKUP($A194&amp;"|Dec",Lists!$J:$L,3,FALSE),0))</f>
        <v/>
      </c>
    </row>
    <row r="195">
      <c r="T195" s="19">
        <f>IF($A195="","",VLOOKUP($A195,DevRateTable,3,FALSE))</f>
        <v/>
      </c>
      <c r="U195" s="16">
        <f>IF(I195="","",I195*IFERROR(VLOOKUP($A195&amp;"|Feb",Lists!$J:$L,2,FALSE),0)*IFERROR(VLOOKUP($A195&amp;"|Feb",Lists!$J:$L,3,FALSE),0))</f>
        <v/>
      </c>
      <c r="V195" s="16">
        <f>IF(J195="","",J195*IFERROR(VLOOKUP($A195&amp;"|Mar",Lists!$J:$L,2,FALSE),0)*IFERROR(VLOOKUP($A195&amp;"|Mar",Lists!$J:$L,3,FALSE),0))</f>
        <v/>
      </c>
      <c r="W195" s="16">
        <f>IF(K195="","",K195*IFERROR(VLOOKUP($A195&amp;"|Apr",Lists!$J:$L,2,FALSE),0)*IFERROR(VLOOKUP($A195&amp;"|Apr",Lists!$J:$L,3,FALSE),0))</f>
        <v/>
      </c>
      <c r="X195" s="16">
        <f>IF(L195="","",L195*IFERROR(VLOOKUP($A195&amp;"|May",Lists!$J:$L,2,FALSE),0)*IFERROR(VLOOKUP($A195&amp;"|May",Lists!$J:$L,3,FALSE),0))</f>
        <v/>
      </c>
      <c r="Y195" s="16">
        <f>IF(M195="","",M195*IFERROR(VLOOKUP($A195&amp;"|Jun",Lists!$J:$L,2,FALSE),0)*IFERROR(VLOOKUP($A195&amp;"|Jun",Lists!$J:$L,3,FALSE),0))</f>
        <v/>
      </c>
      <c r="Z195" s="16">
        <f>IF(N195="","",N195*IFERROR(VLOOKUP($A195&amp;"|Jul",Lists!$J:$L,2,FALSE),0)*IFERROR(VLOOKUP($A195&amp;"|Jul",Lists!$J:$L,3,FALSE),0))</f>
        <v/>
      </c>
      <c r="AA195" s="16">
        <f>IF(O195="","",O195*IFERROR(VLOOKUP($A195&amp;"|Aug",Lists!$J:$L,2,FALSE),0)*IFERROR(VLOOKUP($A195&amp;"|Aug",Lists!$J:$L,3,FALSE),0))</f>
        <v/>
      </c>
      <c r="AB195" s="16">
        <f>IF(P195="","",P195*IFERROR(VLOOKUP($A195&amp;"|Sep",Lists!$J:$L,2,FALSE),0)*IFERROR(VLOOKUP($A195&amp;"|Sep",Lists!$J:$L,3,FALSE),0))</f>
        <v/>
      </c>
      <c r="AC195" s="16">
        <f>IF(Q195="","",Q195*IFERROR(VLOOKUP($A195&amp;"|Oct",Lists!$J:$L,2,FALSE),0)*IFERROR(VLOOKUP($A195&amp;"|Oct",Lists!$J:$L,3,FALSE),0))</f>
        <v/>
      </c>
      <c r="AD195" s="16">
        <f>IF(R195="","",R195*IFERROR(VLOOKUP($A195&amp;"|Nov",Lists!$J:$L,2,FALSE),0)*IFERROR(VLOOKUP($A195&amp;"|Nov",Lists!$J:$L,3,FALSE),0))</f>
        <v/>
      </c>
      <c r="AE195" s="16">
        <f>IF(S195="","",S195*IFERROR(VLOOKUP($A195&amp;"|Dec",Lists!$J:$L,2,FALSE),0)*IFERROR(VLOOKUP($A195&amp;"|Dec",Lists!$J:$L,3,FALSE),0))</f>
        <v/>
      </c>
    </row>
    <row r="196">
      <c r="T196" s="19">
        <f>IF($A196="","",VLOOKUP($A196,DevRateTable,3,FALSE))</f>
        <v/>
      </c>
      <c r="U196" s="16">
        <f>IF(I196="","",I196*IFERROR(VLOOKUP($A196&amp;"|Feb",Lists!$J:$L,2,FALSE),0)*IFERROR(VLOOKUP($A196&amp;"|Feb",Lists!$J:$L,3,FALSE),0))</f>
        <v/>
      </c>
      <c r="V196" s="16">
        <f>IF(J196="","",J196*IFERROR(VLOOKUP($A196&amp;"|Mar",Lists!$J:$L,2,FALSE),0)*IFERROR(VLOOKUP($A196&amp;"|Mar",Lists!$J:$L,3,FALSE),0))</f>
        <v/>
      </c>
      <c r="W196" s="16">
        <f>IF(K196="","",K196*IFERROR(VLOOKUP($A196&amp;"|Apr",Lists!$J:$L,2,FALSE),0)*IFERROR(VLOOKUP($A196&amp;"|Apr",Lists!$J:$L,3,FALSE),0))</f>
        <v/>
      </c>
      <c r="X196" s="16">
        <f>IF(L196="","",L196*IFERROR(VLOOKUP($A196&amp;"|May",Lists!$J:$L,2,FALSE),0)*IFERROR(VLOOKUP($A196&amp;"|May",Lists!$J:$L,3,FALSE),0))</f>
        <v/>
      </c>
      <c r="Y196" s="16">
        <f>IF(M196="","",M196*IFERROR(VLOOKUP($A196&amp;"|Jun",Lists!$J:$L,2,FALSE),0)*IFERROR(VLOOKUP($A196&amp;"|Jun",Lists!$J:$L,3,FALSE),0))</f>
        <v/>
      </c>
      <c r="Z196" s="16">
        <f>IF(N196="","",N196*IFERROR(VLOOKUP($A196&amp;"|Jul",Lists!$J:$L,2,FALSE),0)*IFERROR(VLOOKUP($A196&amp;"|Jul",Lists!$J:$L,3,FALSE),0))</f>
        <v/>
      </c>
      <c r="AA196" s="16">
        <f>IF(O196="","",O196*IFERROR(VLOOKUP($A196&amp;"|Aug",Lists!$J:$L,2,FALSE),0)*IFERROR(VLOOKUP($A196&amp;"|Aug",Lists!$J:$L,3,FALSE),0))</f>
        <v/>
      </c>
      <c r="AB196" s="16">
        <f>IF(P196="","",P196*IFERROR(VLOOKUP($A196&amp;"|Sep",Lists!$J:$L,2,FALSE),0)*IFERROR(VLOOKUP($A196&amp;"|Sep",Lists!$J:$L,3,FALSE),0))</f>
        <v/>
      </c>
      <c r="AC196" s="16">
        <f>IF(Q196="","",Q196*IFERROR(VLOOKUP($A196&amp;"|Oct",Lists!$J:$L,2,FALSE),0)*IFERROR(VLOOKUP($A196&amp;"|Oct",Lists!$J:$L,3,FALSE),0))</f>
        <v/>
      </c>
      <c r="AD196" s="16">
        <f>IF(R196="","",R196*IFERROR(VLOOKUP($A196&amp;"|Nov",Lists!$J:$L,2,FALSE),0)*IFERROR(VLOOKUP($A196&amp;"|Nov",Lists!$J:$L,3,FALSE),0))</f>
        <v/>
      </c>
      <c r="AE196" s="16">
        <f>IF(S196="","",S196*IFERROR(VLOOKUP($A196&amp;"|Dec",Lists!$J:$L,2,FALSE),0)*IFERROR(VLOOKUP($A196&amp;"|Dec",Lists!$J:$L,3,FALSE),0))</f>
        <v/>
      </c>
    </row>
    <row r="197">
      <c r="T197" s="19">
        <f>IF($A197="","",VLOOKUP($A197,DevRateTable,3,FALSE))</f>
        <v/>
      </c>
      <c r="U197" s="16">
        <f>IF(I197="","",I197*IFERROR(VLOOKUP($A197&amp;"|Feb",Lists!$J:$L,2,FALSE),0)*IFERROR(VLOOKUP($A197&amp;"|Feb",Lists!$J:$L,3,FALSE),0))</f>
        <v/>
      </c>
      <c r="V197" s="16">
        <f>IF(J197="","",J197*IFERROR(VLOOKUP($A197&amp;"|Mar",Lists!$J:$L,2,FALSE),0)*IFERROR(VLOOKUP($A197&amp;"|Mar",Lists!$J:$L,3,FALSE),0))</f>
        <v/>
      </c>
      <c r="W197" s="16">
        <f>IF(K197="","",K197*IFERROR(VLOOKUP($A197&amp;"|Apr",Lists!$J:$L,2,FALSE),0)*IFERROR(VLOOKUP($A197&amp;"|Apr",Lists!$J:$L,3,FALSE),0))</f>
        <v/>
      </c>
      <c r="X197" s="16">
        <f>IF(L197="","",L197*IFERROR(VLOOKUP($A197&amp;"|May",Lists!$J:$L,2,FALSE),0)*IFERROR(VLOOKUP($A197&amp;"|May",Lists!$J:$L,3,FALSE),0))</f>
        <v/>
      </c>
      <c r="Y197" s="16">
        <f>IF(M197="","",M197*IFERROR(VLOOKUP($A197&amp;"|Jun",Lists!$J:$L,2,FALSE),0)*IFERROR(VLOOKUP($A197&amp;"|Jun",Lists!$J:$L,3,FALSE),0))</f>
        <v/>
      </c>
      <c r="Z197" s="16">
        <f>IF(N197="","",N197*IFERROR(VLOOKUP($A197&amp;"|Jul",Lists!$J:$L,2,FALSE),0)*IFERROR(VLOOKUP($A197&amp;"|Jul",Lists!$J:$L,3,FALSE),0))</f>
        <v/>
      </c>
      <c r="AA197" s="16">
        <f>IF(O197="","",O197*IFERROR(VLOOKUP($A197&amp;"|Aug",Lists!$J:$L,2,FALSE),0)*IFERROR(VLOOKUP($A197&amp;"|Aug",Lists!$J:$L,3,FALSE),0))</f>
        <v/>
      </c>
      <c r="AB197" s="16">
        <f>IF(P197="","",P197*IFERROR(VLOOKUP($A197&amp;"|Sep",Lists!$J:$L,2,FALSE),0)*IFERROR(VLOOKUP($A197&amp;"|Sep",Lists!$J:$L,3,FALSE),0))</f>
        <v/>
      </c>
      <c r="AC197" s="16">
        <f>IF(Q197="","",Q197*IFERROR(VLOOKUP($A197&amp;"|Oct",Lists!$J:$L,2,FALSE),0)*IFERROR(VLOOKUP($A197&amp;"|Oct",Lists!$J:$L,3,FALSE),0))</f>
        <v/>
      </c>
      <c r="AD197" s="16">
        <f>IF(R197="","",R197*IFERROR(VLOOKUP($A197&amp;"|Nov",Lists!$J:$L,2,FALSE),0)*IFERROR(VLOOKUP($A197&amp;"|Nov",Lists!$J:$L,3,FALSE),0))</f>
        <v/>
      </c>
      <c r="AE197" s="16">
        <f>IF(S197="","",S197*IFERROR(VLOOKUP($A197&amp;"|Dec",Lists!$J:$L,2,FALSE),0)*IFERROR(VLOOKUP($A197&amp;"|Dec",Lists!$J:$L,3,FALSE),0))</f>
        <v/>
      </c>
    </row>
    <row r="198">
      <c r="T198" s="19">
        <f>IF($A198="","",VLOOKUP($A198,DevRateTable,3,FALSE))</f>
        <v/>
      </c>
      <c r="U198" s="16">
        <f>IF(I198="","",I198*IFERROR(VLOOKUP($A198&amp;"|Feb",Lists!$J:$L,2,FALSE),0)*IFERROR(VLOOKUP($A198&amp;"|Feb",Lists!$J:$L,3,FALSE),0))</f>
        <v/>
      </c>
      <c r="V198" s="16">
        <f>IF(J198="","",J198*IFERROR(VLOOKUP($A198&amp;"|Mar",Lists!$J:$L,2,FALSE),0)*IFERROR(VLOOKUP($A198&amp;"|Mar",Lists!$J:$L,3,FALSE),0))</f>
        <v/>
      </c>
      <c r="W198" s="16">
        <f>IF(K198="","",K198*IFERROR(VLOOKUP($A198&amp;"|Apr",Lists!$J:$L,2,FALSE),0)*IFERROR(VLOOKUP($A198&amp;"|Apr",Lists!$J:$L,3,FALSE),0))</f>
        <v/>
      </c>
      <c r="X198" s="16">
        <f>IF(L198="","",L198*IFERROR(VLOOKUP($A198&amp;"|May",Lists!$J:$L,2,FALSE),0)*IFERROR(VLOOKUP($A198&amp;"|May",Lists!$J:$L,3,FALSE),0))</f>
        <v/>
      </c>
      <c r="Y198" s="16">
        <f>IF(M198="","",M198*IFERROR(VLOOKUP($A198&amp;"|Jun",Lists!$J:$L,2,FALSE),0)*IFERROR(VLOOKUP($A198&amp;"|Jun",Lists!$J:$L,3,FALSE),0))</f>
        <v/>
      </c>
      <c r="Z198" s="16">
        <f>IF(N198="","",N198*IFERROR(VLOOKUP($A198&amp;"|Jul",Lists!$J:$L,2,FALSE),0)*IFERROR(VLOOKUP($A198&amp;"|Jul",Lists!$J:$L,3,FALSE),0))</f>
        <v/>
      </c>
      <c r="AA198" s="16">
        <f>IF(O198="","",O198*IFERROR(VLOOKUP($A198&amp;"|Aug",Lists!$J:$L,2,FALSE),0)*IFERROR(VLOOKUP($A198&amp;"|Aug",Lists!$J:$L,3,FALSE),0))</f>
        <v/>
      </c>
      <c r="AB198" s="16">
        <f>IF(P198="","",P198*IFERROR(VLOOKUP($A198&amp;"|Sep",Lists!$J:$L,2,FALSE),0)*IFERROR(VLOOKUP($A198&amp;"|Sep",Lists!$J:$L,3,FALSE),0))</f>
        <v/>
      </c>
      <c r="AC198" s="16">
        <f>IF(Q198="","",Q198*IFERROR(VLOOKUP($A198&amp;"|Oct",Lists!$J:$L,2,FALSE),0)*IFERROR(VLOOKUP($A198&amp;"|Oct",Lists!$J:$L,3,FALSE),0))</f>
        <v/>
      </c>
      <c r="AD198" s="16">
        <f>IF(R198="","",R198*IFERROR(VLOOKUP($A198&amp;"|Nov",Lists!$J:$L,2,FALSE),0)*IFERROR(VLOOKUP($A198&amp;"|Nov",Lists!$J:$L,3,FALSE),0))</f>
        <v/>
      </c>
      <c r="AE198" s="16">
        <f>IF(S198="","",S198*IFERROR(VLOOKUP($A198&amp;"|Dec",Lists!$J:$L,2,FALSE),0)*IFERROR(VLOOKUP($A198&amp;"|Dec",Lists!$J:$L,3,FALSE),0))</f>
        <v/>
      </c>
    </row>
    <row r="199">
      <c r="T199" s="19">
        <f>IF($A199="","",VLOOKUP($A199,DevRateTable,3,FALSE))</f>
        <v/>
      </c>
      <c r="U199" s="16">
        <f>IF(I199="","",I199*IFERROR(VLOOKUP($A199&amp;"|Feb",Lists!$J:$L,2,FALSE),0)*IFERROR(VLOOKUP($A199&amp;"|Feb",Lists!$J:$L,3,FALSE),0))</f>
        <v/>
      </c>
      <c r="V199" s="16">
        <f>IF(J199="","",J199*IFERROR(VLOOKUP($A199&amp;"|Mar",Lists!$J:$L,2,FALSE),0)*IFERROR(VLOOKUP($A199&amp;"|Mar",Lists!$J:$L,3,FALSE),0))</f>
        <v/>
      </c>
      <c r="W199" s="16">
        <f>IF(K199="","",K199*IFERROR(VLOOKUP($A199&amp;"|Apr",Lists!$J:$L,2,FALSE),0)*IFERROR(VLOOKUP($A199&amp;"|Apr",Lists!$J:$L,3,FALSE),0))</f>
        <v/>
      </c>
      <c r="X199" s="16">
        <f>IF(L199="","",L199*IFERROR(VLOOKUP($A199&amp;"|May",Lists!$J:$L,2,FALSE),0)*IFERROR(VLOOKUP($A199&amp;"|May",Lists!$J:$L,3,FALSE),0))</f>
        <v/>
      </c>
      <c r="Y199" s="16">
        <f>IF(M199="","",M199*IFERROR(VLOOKUP($A199&amp;"|Jun",Lists!$J:$L,2,FALSE),0)*IFERROR(VLOOKUP($A199&amp;"|Jun",Lists!$J:$L,3,FALSE),0))</f>
        <v/>
      </c>
      <c r="Z199" s="16">
        <f>IF(N199="","",N199*IFERROR(VLOOKUP($A199&amp;"|Jul",Lists!$J:$L,2,FALSE),0)*IFERROR(VLOOKUP($A199&amp;"|Jul",Lists!$J:$L,3,FALSE),0))</f>
        <v/>
      </c>
      <c r="AA199" s="16">
        <f>IF(O199="","",O199*IFERROR(VLOOKUP($A199&amp;"|Aug",Lists!$J:$L,2,FALSE),0)*IFERROR(VLOOKUP($A199&amp;"|Aug",Lists!$J:$L,3,FALSE),0))</f>
        <v/>
      </c>
      <c r="AB199" s="16">
        <f>IF(P199="","",P199*IFERROR(VLOOKUP($A199&amp;"|Sep",Lists!$J:$L,2,FALSE),0)*IFERROR(VLOOKUP($A199&amp;"|Sep",Lists!$J:$L,3,FALSE),0))</f>
        <v/>
      </c>
      <c r="AC199" s="16">
        <f>IF(Q199="","",Q199*IFERROR(VLOOKUP($A199&amp;"|Oct",Lists!$J:$L,2,FALSE),0)*IFERROR(VLOOKUP($A199&amp;"|Oct",Lists!$J:$L,3,FALSE),0))</f>
        <v/>
      </c>
      <c r="AD199" s="16">
        <f>IF(R199="","",R199*IFERROR(VLOOKUP($A199&amp;"|Nov",Lists!$J:$L,2,FALSE),0)*IFERROR(VLOOKUP($A199&amp;"|Nov",Lists!$J:$L,3,FALSE),0))</f>
        <v/>
      </c>
      <c r="AE199" s="16">
        <f>IF(S199="","",S199*IFERROR(VLOOKUP($A199&amp;"|Dec",Lists!$J:$L,2,FALSE),0)*IFERROR(VLOOKUP($A199&amp;"|Dec",Lists!$J:$L,3,FALSE),0))</f>
        <v/>
      </c>
    </row>
    <row r="200">
      <c r="T200" s="19">
        <f>IF($A200="","",VLOOKUP($A200,DevRateTable,3,FALSE))</f>
        <v/>
      </c>
      <c r="U200" s="16">
        <f>IF(I200="","",I200*IFERROR(VLOOKUP($A200&amp;"|Feb",Lists!$J:$L,2,FALSE),0)*IFERROR(VLOOKUP($A200&amp;"|Feb",Lists!$J:$L,3,FALSE),0))</f>
        <v/>
      </c>
      <c r="V200" s="16">
        <f>IF(J200="","",J200*IFERROR(VLOOKUP($A200&amp;"|Mar",Lists!$J:$L,2,FALSE),0)*IFERROR(VLOOKUP($A200&amp;"|Mar",Lists!$J:$L,3,FALSE),0))</f>
        <v/>
      </c>
      <c r="W200" s="16">
        <f>IF(K200="","",K200*IFERROR(VLOOKUP($A200&amp;"|Apr",Lists!$J:$L,2,FALSE),0)*IFERROR(VLOOKUP($A200&amp;"|Apr",Lists!$J:$L,3,FALSE),0))</f>
        <v/>
      </c>
      <c r="X200" s="16">
        <f>IF(L200="","",L200*IFERROR(VLOOKUP($A200&amp;"|May",Lists!$J:$L,2,FALSE),0)*IFERROR(VLOOKUP($A200&amp;"|May",Lists!$J:$L,3,FALSE),0))</f>
        <v/>
      </c>
      <c r="Y200" s="16">
        <f>IF(M200="","",M200*IFERROR(VLOOKUP($A200&amp;"|Jun",Lists!$J:$L,2,FALSE),0)*IFERROR(VLOOKUP($A200&amp;"|Jun",Lists!$J:$L,3,FALSE),0))</f>
        <v/>
      </c>
      <c r="Z200" s="16">
        <f>IF(N200="","",N200*IFERROR(VLOOKUP($A200&amp;"|Jul",Lists!$J:$L,2,FALSE),0)*IFERROR(VLOOKUP($A200&amp;"|Jul",Lists!$J:$L,3,FALSE),0))</f>
        <v/>
      </c>
      <c r="AA200" s="16">
        <f>IF(O200="","",O200*IFERROR(VLOOKUP($A200&amp;"|Aug",Lists!$J:$L,2,FALSE),0)*IFERROR(VLOOKUP($A200&amp;"|Aug",Lists!$J:$L,3,FALSE),0))</f>
        <v/>
      </c>
      <c r="AB200" s="16">
        <f>IF(P200="","",P200*IFERROR(VLOOKUP($A200&amp;"|Sep",Lists!$J:$L,2,FALSE),0)*IFERROR(VLOOKUP($A200&amp;"|Sep",Lists!$J:$L,3,FALSE),0))</f>
        <v/>
      </c>
      <c r="AC200" s="16">
        <f>IF(Q200="","",Q200*IFERROR(VLOOKUP($A200&amp;"|Oct",Lists!$J:$L,2,FALSE),0)*IFERROR(VLOOKUP($A200&amp;"|Oct",Lists!$J:$L,3,FALSE),0))</f>
        <v/>
      </c>
      <c r="AD200" s="16">
        <f>IF(R200="","",R200*IFERROR(VLOOKUP($A200&amp;"|Nov",Lists!$J:$L,2,FALSE),0)*IFERROR(VLOOKUP($A200&amp;"|Nov",Lists!$J:$L,3,FALSE),0))</f>
        <v/>
      </c>
      <c r="AE200" s="16">
        <f>IF(S200="","",S200*IFERROR(VLOOKUP($A200&amp;"|Dec",Lists!$J:$L,2,FALSE),0)*IFERROR(VLOOKUP($A200&amp;"|Dec",Lists!$J:$L,3,FALSE),0))</f>
        <v/>
      </c>
    </row>
  </sheetData>
  <conditionalFormatting sqref="H3:S200">
    <cfRule type="expression" priority="1" dxfId="0">
      <formula>OR(H$1&lt;$E3,H$1&gt;$F3)</formula>
    </cfRule>
  </conditionalFormatting>
  <dataValidations count="3">
    <dataValidation sqref="A3:A200" showDropDown="0" showInputMessage="0" showErrorMessage="0" allowBlank="1" type="list">
      <formula1>=DevelopersList</formula1>
    </dataValidation>
    <dataValidation sqref="B3:B200" showDropDown="0" showInputMessage="0" showErrorMessage="0" allowBlank="1" type="list">
      <formula1>=ProjectsList</formula1>
    </dataValidation>
    <dataValidation sqref="H3:S200" showDropDown="0" showInputMessage="0" showErrorMessage="1" allowBlank="1" errorTitle="Invalid effort entry" error="Enter a value 0..1 only within the project's active months; leave other months blank." type="custom">
      <formula1>=IF(AND(H$1&gt;=$E3,H$1&lt;=$F3),AND(H3&gt;=0,H3&lt;=1),H3="")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06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>
      <c r="A1" s="10" t="inlineStr">
        <is>
          <t>Project summary (effort by month)</t>
        </is>
      </c>
      <c r="P1" s="2" t="inlineStr">
        <is>
          <t>BlendRate</t>
        </is>
      </c>
      <c r="Q1" s="19">
        <f>BlendRate</f>
        <v/>
      </c>
    </row>
    <row r="2">
      <c r="P2" s="2" t="inlineStr">
        <is>
          <t>Mandays</t>
        </is>
      </c>
      <c r="Q2" s="19">
        <f>Mandays</f>
        <v/>
      </c>
    </row>
    <row r="3">
      <c r="A3" s="5" t="inlineStr">
        <is>
          <t>Project</t>
        </is>
      </c>
      <c r="B3" s="5" t="inlineStr">
        <is>
          <t>Jan</t>
        </is>
      </c>
      <c r="C3" s="5" t="inlineStr">
        <is>
          <t>Feb</t>
        </is>
      </c>
      <c r="D3" s="5" t="inlineStr">
        <is>
          <t>Mar</t>
        </is>
      </c>
      <c r="E3" s="5" t="inlineStr">
        <is>
          <t>Apr</t>
        </is>
      </c>
      <c r="F3" s="5" t="inlineStr">
        <is>
          <t>May</t>
        </is>
      </c>
      <c r="G3" s="5" t="inlineStr">
        <is>
          <t>Jun</t>
        </is>
      </c>
      <c r="H3" s="5" t="inlineStr">
        <is>
          <t>Jul</t>
        </is>
      </c>
      <c r="I3" s="5" t="inlineStr">
        <is>
          <t>Aug</t>
        </is>
      </c>
      <c r="J3" s="5" t="inlineStr">
        <is>
          <t>Sep</t>
        </is>
      </c>
      <c r="K3" s="5" t="inlineStr">
        <is>
          <t>Oct</t>
        </is>
      </c>
      <c r="L3" s="5" t="inlineStr">
        <is>
          <t>Nov</t>
        </is>
      </c>
      <c r="M3" s="5" t="inlineStr">
        <is>
          <t>Dec</t>
        </is>
      </c>
      <c r="N3" s="5" t="inlineStr">
        <is>
          <t>Total</t>
        </is>
      </c>
    </row>
    <row r="4">
      <c r="A4" s="11">
        <f>IF(Projects!A2="","",Projects!A2)</f>
        <v/>
      </c>
      <c r="B4" s="12">
        <f>IF($A4="","",SUMIFS(Allocations!H3:H200,Allocations!$B3:$B200,$A4))</f>
        <v/>
      </c>
      <c r="C4" s="12">
        <f>IF($A4="","",SUMIFS(Allocations!I3:I200,Allocations!$B3:$B200,$A4))</f>
        <v/>
      </c>
      <c r="D4" s="12">
        <f>IF($A4="","",SUMIFS(Allocations!J3:J200,Allocations!$B3:$B200,$A4))</f>
        <v/>
      </c>
      <c r="E4" s="12">
        <f>IF($A4="","",SUMIFS(Allocations!K3:K200,Allocations!$B3:$B200,$A4))</f>
        <v/>
      </c>
      <c r="F4" s="12">
        <f>IF($A4="","",SUMIFS(Allocations!L3:L200,Allocations!$B3:$B200,$A4))</f>
        <v/>
      </c>
      <c r="G4" s="12">
        <f>IF($A4="","",SUMIFS(Allocations!M3:M200,Allocations!$B3:$B200,$A4))</f>
        <v/>
      </c>
      <c r="H4" s="12">
        <f>IF($A4="","",SUMIFS(Allocations!N3:N200,Allocations!$B3:$B200,$A4))</f>
        <v/>
      </c>
      <c r="I4" s="12">
        <f>IF($A4="","",SUMIFS(Allocations!O3:O200,Allocations!$B3:$B200,$A4))</f>
        <v/>
      </c>
      <c r="J4" s="12">
        <f>IF($A4="","",SUMIFS(Allocations!P3:P200,Allocations!$B3:$B200,$A4))</f>
        <v/>
      </c>
      <c r="K4" s="12">
        <f>IF($A4="","",SUMIFS(Allocations!Q3:Q200,Allocations!$B3:$B200,$A4))</f>
        <v/>
      </c>
      <c r="L4" s="12">
        <f>IF($A4="","",SUMIFS(Allocations!R3:R200,Allocations!$B3:$B200,$A4))</f>
        <v/>
      </c>
      <c r="M4" s="12">
        <f>IF($A4="","",SUMIFS(Allocations!S3:S200,Allocations!$B3:$B200,$A4))</f>
        <v/>
      </c>
      <c r="N4" s="12">
        <f>IF($A4="","",SUM(B4:M4))</f>
        <v/>
      </c>
    </row>
    <row r="5">
      <c r="A5" s="11">
        <f>IF(Projects!A3="","",Projects!A3)</f>
        <v/>
      </c>
      <c r="B5" s="12">
        <f>IF($A5="","",SUMIFS(Allocations!H3:H200,Allocations!$B3:$B200,$A5))</f>
        <v/>
      </c>
      <c r="C5" s="12">
        <f>IF($A5="","",SUMIFS(Allocations!I3:I200,Allocations!$B3:$B200,$A5))</f>
        <v/>
      </c>
      <c r="D5" s="12">
        <f>IF($A5="","",SUMIFS(Allocations!J3:J200,Allocations!$B3:$B200,$A5))</f>
        <v/>
      </c>
      <c r="E5" s="12">
        <f>IF($A5="","",SUMIFS(Allocations!K3:K200,Allocations!$B3:$B200,$A5))</f>
        <v/>
      </c>
      <c r="F5" s="12">
        <f>IF($A5="","",SUMIFS(Allocations!L3:L200,Allocations!$B3:$B200,$A5))</f>
        <v/>
      </c>
      <c r="G5" s="12">
        <f>IF($A5="","",SUMIFS(Allocations!M3:M200,Allocations!$B3:$B200,$A5))</f>
        <v/>
      </c>
      <c r="H5" s="12">
        <f>IF($A5="","",SUMIFS(Allocations!N3:N200,Allocations!$B3:$B200,$A5))</f>
        <v/>
      </c>
      <c r="I5" s="12">
        <f>IF($A5="","",SUMIFS(Allocations!O3:O200,Allocations!$B3:$B200,$A5))</f>
        <v/>
      </c>
      <c r="J5" s="12">
        <f>IF($A5="","",SUMIFS(Allocations!P3:P200,Allocations!$B3:$B200,$A5))</f>
        <v/>
      </c>
      <c r="K5" s="12">
        <f>IF($A5="","",SUMIFS(Allocations!Q3:Q200,Allocations!$B3:$B200,$A5))</f>
        <v/>
      </c>
      <c r="L5" s="12">
        <f>IF($A5="","",SUMIFS(Allocations!R3:R200,Allocations!$B3:$B200,$A5))</f>
        <v/>
      </c>
      <c r="M5" s="12">
        <f>IF($A5="","",SUMIFS(Allocations!S3:S200,Allocations!$B3:$B200,$A5))</f>
        <v/>
      </c>
      <c r="N5" s="12">
        <f>IF($A5="","",SUM(B5:M5))</f>
        <v/>
      </c>
    </row>
    <row r="6">
      <c r="A6" s="11">
        <f>IF(Projects!A4="","",Projects!A4)</f>
        <v/>
      </c>
      <c r="B6" s="12">
        <f>IF($A6="","",SUMIFS(Allocations!H3:H200,Allocations!$B3:$B200,$A6))</f>
        <v/>
      </c>
      <c r="C6" s="12">
        <f>IF($A6="","",SUMIFS(Allocations!I3:I200,Allocations!$B3:$B200,$A6))</f>
        <v/>
      </c>
      <c r="D6" s="12">
        <f>IF($A6="","",SUMIFS(Allocations!J3:J200,Allocations!$B3:$B200,$A6))</f>
        <v/>
      </c>
      <c r="E6" s="12">
        <f>IF($A6="","",SUMIFS(Allocations!K3:K200,Allocations!$B3:$B200,$A6))</f>
        <v/>
      </c>
      <c r="F6" s="12">
        <f>IF($A6="","",SUMIFS(Allocations!L3:L200,Allocations!$B3:$B200,$A6))</f>
        <v/>
      </c>
      <c r="G6" s="12">
        <f>IF($A6="","",SUMIFS(Allocations!M3:M200,Allocations!$B3:$B200,$A6))</f>
        <v/>
      </c>
      <c r="H6" s="12">
        <f>IF($A6="","",SUMIFS(Allocations!N3:N200,Allocations!$B3:$B200,$A6))</f>
        <v/>
      </c>
      <c r="I6" s="12">
        <f>IF($A6="","",SUMIFS(Allocations!O3:O200,Allocations!$B3:$B200,$A6))</f>
        <v/>
      </c>
      <c r="J6" s="12">
        <f>IF($A6="","",SUMIFS(Allocations!P3:P200,Allocations!$B3:$B200,$A6))</f>
        <v/>
      </c>
      <c r="K6" s="12">
        <f>IF($A6="","",SUMIFS(Allocations!Q3:Q200,Allocations!$B3:$B200,$A6))</f>
        <v/>
      </c>
      <c r="L6" s="12">
        <f>IF($A6="","",SUMIFS(Allocations!R3:R200,Allocations!$B3:$B200,$A6))</f>
        <v/>
      </c>
      <c r="M6" s="12">
        <f>IF($A6="","",SUMIFS(Allocations!S3:S200,Allocations!$B3:$B200,$A6))</f>
        <v/>
      </c>
      <c r="N6" s="12">
        <f>IF($A6="","",SUM(B6:M6))</f>
        <v/>
      </c>
    </row>
    <row r="7">
      <c r="A7" s="11">
        <f>IF(Projects!A5="","",Projects!A5)</f>
        <v/>
      </c>
      <c r="B7" s="12">
        <f>IF($A7="","",SUMIFS(Allocations!H3:H200,Allocations!$B3:$B200,$A7))</f>
        <v/>
      </c>
      <c r="C7" s="12">
        <f>IF($A7="","",SUMIFS(Allocations!I3:I200,Allocations!$B3:$B200,$A7))</f>
        <v/>
      </c>
      <c r="D7" s="12">
        <f>IF($A7="","",SUMIFS(Allocations!J3:J200,Allocations!$B3:$B200,$A7))</f>
        <v/>
      </c>
      <c r="E7" s="12">
        <f>IF($A7="","",SUMIFS(Allocations!K3:K200,Allocations!$B3:$B200,$A7))</f>
        <v/>
      </c>
      <c r="F7" s="12">
        <f>IF($A7="","",SUMIFS(Allocations!L3:L200,Allocations!$B3:$B200,$A7))</f>
        <v/>
      </c>
      <c r="G7" s="12">
        <f>IF($A7="","",SUMIFS(Allocations!M3:M200,Allocations!$B3:$B200,$A7))</f>
        <v/>
      </c>
      <c r="H7" s="12">
        <f>IF($A7="","",SUMIFS(Allocations!N3:N200,Allocations!$B3:$B200,$A7))</f>
        <v/>
      </c>
      <c r="I7" s="12">
        <f>IF($A7="","",SUMIFS(Allocations!O3:O200,Allocations!$B3:$B200,$A7))</f>
        <v/>
      </c>
      <c r="J7" s="12">
        <f>IF($A7="","",SUMIFS(Allocations!P3:P200,Allocations!$B3:$B200,$A7))</f>
        <v/>
      </c>
      <c r="K7" s="12">
        <f>IF($A7="","",SUMIFS(Allocations!Q3:Q200,Allocations!$B3:$B200,$A7))</f>
        <v/>
      </c>
      <c r="L7" s="12">
        <f>IF($A7="","",SUMIFS(Allocations!R3:R200,Allocations!$B3:$B200,$A7))</f>
        <v/>
      </c>
      <c r="M7" s="12">
        <f>IF($A7="","",SUMIFS(Allocations!S3:S200,Allocations!$B3:$B200,$A7))</f>
        <v/>
      </c>
      <c r="N7" s="12">
        <f>IF($A7="","",SUM(B7:M7))</f>
        <v/>
      </c>
    </row>
    <row r="8">
      <c r="A8" s="11">
        <f>IF(Projects!A6="","",Projects!A6)</f>
        <v/>
      </c>
      <c r="B8" s="12">
        <f>IF($A8="","",SUMIFS(Allocations!H3:H200,Allocations!$B3:$B200,$A8))</f>
        <v/>
      </c>
      <c r="C8" s="12">
        <f>IF($A8="","",SUMIFS(Allocations!I3:I200,Allocations!$B3:$B200,$A8))</f>
        <v/>
      </c>
      <c r="D8" s="12">
        <f>IF($A8="","",SUMIFS(Allocations!J3:J200,Allocations!$B3:$B200,$A8))</f>
        <v/>
      </c>
      <c r="E8" s="12">
        <f>IF($A8="","",SUMIFS(Allocations!K3:K200,Allocations!$B3:$B200,$A8))</f>
        <v/>
      </c>
      <c r="F8" s="12">
        <f>IF($A8="","",SUMIFS(Allocations!L3:L200,Allocations!$B3:$B200,$A8))</f>
        <v/>
      </c>
      <c r="G8" s="12">
        <f>IF($A8="","",SUMIFS(Allocations!M3:M200,Allocations!$B3:$B200,$A8))</f>
        <v/>
      </c>
      <c r="H8" s="12">
        <f>IF($A8="","",SUMIFS(Allocations!N3:N200,Allocations!$B3:$B200,$A8))</f>
        <v/>
      </c>
      <c r="I8" s="12">
        <f>IF($A8="","",SUMIFS(Allocations!O3:O200,Allocations!$B3:$B200,$A8))</f>
        <v/>
      </c>
      <c r="J8" s="12">
        <f>IF($A8="","",SUMIFS(Allocations!P3:P200,Allocations!$B3:$B200,$A8))</f>
        <v/>
      </c>
      <c r="K8" s="12">
        <f>IF($A8="","",SUMIFS(Allocations!Q3:Q200,Allocations!$B3:$B200,$A8))</f>
        <v/>
      </c>
      <c r="L8" s="12">
        <f>IF($A8="","",SUMIFS(Allocations!R3:R200,Allocations!$B3:$B200,$A8))</f>
        <v/>
      </c>
      <c r="M8" s="12">
        <f>IF($A8="","",SUMIFS(Allocations!S3:S200,Allocations!$B3:$B200,$A8))</f>
        <v/>
      </c>
      <c r="N8" s="12">
        <f>IF($A8="","",SUM(B8:M8))</f>
        <v/>
      </c>
    </row>
    <row r="9">
      <c r="A9" s="11">
        <f>IF(Projects!A7="","",Projects!A7)</f>
        <v/>
      </c>
      <c r="B9" s="12">
        <f>IF($A9="","",SUMIFS(Allocations!H3:H200,Allocations!$B3:$B200,$A9))</f>
        <v/>
      </c>
      <c r="C9" s="12">
        <f>IF($A9="","",SUMIFS(Allocations!I3:I200,Allocations!$B3:$B200,$A9))</f>
        <v/>
      </c>
      <c r="D9" s="12">
        <f>IF($A9="","",SUMIFS(Allocations!J3:J200,Allocations!$B3:$B200,$A9))</f>
        <v/>
      </c>
      <c r="E9" s="12">
        <f>IF($A9="","",SUMIFS(Allocations!K3:K200,Allocations!$B3:$B200,$A9))</f>
        <v/>
      </c>
      <c r="F9" s="12">
        <f>IF($A9="","",SUMIFS(Allocations!L3:L200,Allocations!$B3:$B200,$A9))</f>
        <v/>
      </c>
      <c r="G9" s="12">
        <f>IF($A9="","",SUMIFS(Allocations!M3:M200,Allocations!$B3:$B200,$A9))</f>
        <v/>
      </c>
      <c r="H9" s="12">
        <f>IF($A9="","",SUMIFS(Allocations!N3:N200,Allocations!$B3:$B200,$A9))</f>
        <v/>
      </c>
      <c r="I9" s="12">
        <f>IF($A9="","",SUMIFS(Allocations!O3:O200,Allocations!$B3:$B200,$A9))</f>
        <v/>
      </c>
      <c r="J9" s="12">
        <f>IF($A9="","",SUMIFS(Allocations!P3:P200,Allocations!$B3:$B200,$A9))</f>
        <v/>
      </c>
      <c r="K9" s="12">
        <f>IF($A9="","",SUMIFS(Allocations!Q3:Q200,Allocations!$B3:$B200,$A9))</f>
        <v/>
      </c>
      <c r="L9" s="12">
        <f>IF($A9="","",SUMIFS(Allocations!R3:R200,Allocations!$B3:$B200,$A9))</f>
        <v/>
      </c>
      <c r="M9" s="12">
        <f>IF($A9="","",SUMIFS(Allocations!S3:S200,Allocations!$B3:$B200,$A9))</f>
        <v/>
      </c>
      <c r="N9" s="12">
        <f>IF($A9="","",SUM(B9:M9))</f>
        <v/>
      </c>
    </row>
    <row r="10">
      <c r="A10" s="11">
        <f>IF(Projects!A8="","",Projects!A8)</f>
        <v/>
      </c>
      <c r="B10" s="12">
        <f>IF($A10="","",SUMIFS(Allocations!H3:H200,Allocations!$B3:$B200,$A10))</f>
        <v/>
      </c>
      <c r="C10" s="12">
        <f>IF($A10="","",SUMIFS(Allocations!I3:I200,Allocations!$B3:$B200,$A10))</f>
        <v/>
      </c>
      <c r="D10" s="12">
        <f>IF($A10="","",SUMIFS(Allocations!J3:J200,Allocations!$B3:$B200,$A10))</f>
        <v/>
      </c>
      <c r="E10" s="12">
        <f>IF($A10="","",SUMIFS(Allocations!K3:K200,Allocations!$B3:$B200,$A10))</f>
        <v/>
      </c>
      <c r="F10" s="12">
        <f>IF($A10="","",SUMIFS(Allocations!L3:L200,Allocations!$B3:$B200,$A10))</f>
        <v/>
      </c>
      <c r="G10" s="12">
        <f>IF($A10="","",SUMIFS(Allocations!M3:M200,Allocations!$B3:$B200,$A10))</f>
        <v/>
      </c>
      <c r="H10" s="12">
        <f>IF($A10="","",SUMIFS(Allocations!N3:N200,Allocations!$B3:$B200,$A10))</f>
        <v/>
      </c>
      <c r="I10" s="12">
        <f>IF($A10="","",SUMIFS(Allocations!O3:O200,Allocations!$B3:$B200,$A10))</f>
        <v/>
      </c>
      <c r="J10" s="12">
        <f>IF($A10="","",SUMIFS(Allocations!P3:P200,Allocations!$B3:$B200,$A10))</f>
        <v/>
      </c>
      <c r="K10" s="12">
        <f>IF($A10="","",SUMIFS(Allocations!Q3:Q200,Allocations!$B3:$B200,$A10))</f>
        <v/>
      </c>
      <c r="L10" s="12">
        <f>IF($A10="","",SUMIFS(Allocations!R3:R200,Allocations!$B3:$B200,$A10))</f>
        <v/>
      </c>
      <c r="M10" s="12">
        <f>IF($A10="","",SUMIFS(Allocations!S3:S200,Allocations!$B3:$B200,$A10))</f>
        <v/>
      </c>
      <c r="N10" s="12">
        <f>IF($A10="","",SUM(B10:M10))</f>
        <v/>
      </c>
    </row>
    <row r="11">
      <c r="A11" s="11">
        <f>IF(Projects!A9="","",Projects!A9)</f>
        <v/>
      </c>
      <c r="B11" s="12">
        <f>IF($A11="","",SUMIFS(Allocations!H3:H200,Allocations!$B3:$B200,$A11))</f>
        <v/>
      </c>
      <c r="C11" s="12">
        <f>IF($A11="","",SUMIFS(Allocations!I3:I200,Allocations!$B3:$B200,$A11))</f>
        <v/>
      </c>
      <c r="D11" s="12">
        <f>IF($A11="","",SUMIFS(Allocations!J3:J200,Allocations!$B3:$B200,$A11))</f>
        <v/>
      </c>
      <c r="E11" s="12">
        <f>IF($A11="","",SUMIFS(Allocations!K3:K200,Allocations!$B3:$B200,$A11))</f>
        <v/>
      </c>
      <c r="F11" s="12">
        <f>IF($A11="","",SUMIFS(Allocations!L3:L200,Allocations!$B3:$B200,$A11))</f>
        <v/>
      </c>
      <c r="G11" s="12">
        <f>IF($A11="","",SUMIFS(Allocations!M3:M200,Allocations!$B3:$B200,$A11))</f>
        <v/>
      </c>
      <c r="H11" s="12">
        <f>IF($A11="","",SUMIFS(Allocations!N3:N200,Allocations!$B3:$B200,$A11))</f>
        <v/>
      </c>
      <c r="I11" s="12">
        <f>IF($A11="","",SUMIFS(Allocations!O3:O200,Allocations!$B3:$B200,$A11))</f>
        <v/>
      </c>
      <c r="J11" s="12">
        <f>IF($A11="","",SUMIFS(Allocations!P3:P200,Allocations!$B3:$B200,$A11))</f>
        <v/>
      </c>
      <c r="K11" s="12">
        <f>IF($A11="","",SUMIFS(Allocations!Q3:Q200,Allocations!$B3:$B200,$A11))</f>
        <v/>
      </c>
      <c r="L11" s="12">
        <f>IF($A11="","",SUMIFS(Allocations!R3:R200,Allocations!$B3:$B200,$A11))</f>
        <v/>
      </c>
      <c r="M11" s="12">
        <f>IF($A11="","",SUMIFS(Allocations!S3:S200,Allocations!$B3:$B200,$A11))</f>
        <v/>
      </c>
      <c r="N11" s="12">
        <f>IF($A11="","",SUM(B11:M11))</f>
        <v/>
      </c>
    </row>
    <row r="12">
      <c r="A12" s="11">
        <f>IF(Projects!A10="","",Projects!A10)</f>
        <v/>
      </c>
      <c r="B12" s="12">
        <f>IF($A12="","",SUMIFS(Allocations!H3:H200,Allocations!$B3:$B200,$A12))</f>
        <v/>
      </c>
      <c r="C12" s="12">
        <f>IF($A12="","",SUMIFS(Allocations!I3:I200,Allocations!$B3:$B200,$A12))</f>
        <v/>
      </c>
      <c r="D12" s="12">
        <f>IF($A12="","",SUMIFS(Allocations!J3:J200,Allocations!$B3:$B200,$A12))</f>
        <v/>
      </c>
      <c r="E12" s="12">
        <f>IF($A12="","",SUMIFS(Allocations!K3:K200,Allocations!$B3:$B200,$A12))</f>
        <v/>
      </c>
      <c r="F12" s="12">
        <f>IF($A12="","",SUMIFS(Allocations!L3:L200,Allocations!$B3:$B200,$A12))</f>
        <v/>
      </c>
      <c r="G12" s="12">
        <f>IF($A12="","",SUMIFS(Allocations!M3:M200,Allocations!$B3:$B200,$A12))</f>
        <v/>
      </c>
      <c r="H12" s="12">
        <f>IF($A12="","",SUMIFS(Allocations!N3:N200,Allocations!$B3:$B200,$A12))</f>
        <v/>
      </c>
      <c r="I12" s="12">
        <f>IF($A12="","",SUMIFS(Allocations!O3:O200,Allocations!$B3:$B200,$A12))</f>
        <v/>
      </c>
      <c r="J12" s="12">
        <f>IF($A12="","",SUMIFS(Allocations!P3:P200,Allocations!$B3:$B200,$A12))</f>
        <v/>
      </c>
      <c r="K12" s="12">
        <f>IF($A12="","",SUMIFS(Allocations!Q3:Q200,Allocations!$B3:$B200,$A12))</f>
        <v/>
      </c>
      <c r="L12" s="12">
        <f>IF($A12="","",SUMIFS(Allocations!R3:R200,Allocations!$B3:$B200,$A12))</f>
        <v/>
      </c>
      <c r="M12" s="12">
        <f>IF($A12="","",SUMIFS(Allocations!S3:S200,Allocations!$B3:$B200,$A12))</f>
        <v/>
      </c>
      <c r="N12" s="12">
        <f>IF($A12="","",SUM(B12:M12))</f>
        <v/>
      </c>
    </row>
    <row r="13">
      <c r="A13" s="11">
        <f>IF(Projects!A11="","",Projects!A11)</f>
        <v/>
      </c>
      <c r="B13" s="12">
        <f>IF($A13="","",SUMIFS(Allocations!H3:H200,Allocations!$B3:$B200,$A13))</f>
        <v/>
      </c>
      <c r="C13" s="12">
        <f>IF($A13="","",SUMIFS(Allocations!I3:I200,Allocations!$B3:$B200,$A13))</f>
        <v/>
      </c>
      <c r="D13" s="12">
        <f>IF($A13="","",SUMIFS(Allocations!J3:J200,Allocations!$B3:$B200,$A13))</f>
        <v/>
      </c>
      <c r="E13" s="12">
        <f>IF($A13="","",SUMIFS(Allocations!K3:K200,Allocations!$B3:$B200,$A13))</f>
        <v/>
      </c>
      <c r="F13" s="12">
        <f>IF($A13="","",SUMIFS(Allocations!L3:L200,Allocations!$B3:$B200,$A13))</f>
        <v/>
      </c>
      <c r="G13" s="12">
        <f>IF($A13="","",SUMIFS(Allocations!M3:M200,Allocations!$B3:$B200,$A13))</f>
        <v/>
      </c>
      <c r="H13" s="12">
        <f>IF($A13="","",SUMIFS(Allocations!N3:N200,Allocations!$B3:$B200,$A13))</f>
        <v/>
      </c>
      <c r="I13" s="12">
        <f>IF($A13="","",SUMIFS(Allocations!O3:O200,Allocations!$B3:$B200,$A13))</f>
        <v/>
      </c>
      <c r="J13" s="12">
        <f>IF($A13="","",SUMIFS(Allocations!P3:P200,Allocations!$B3:$B200,$A13))</f>
        <v/>
      </c>
      <c r="K13" s="12">
        <f>IF($A13="","",SUMIFS(Allocations!Q3:Q200,Allocations!$B3:$B200,$A13))</f>
        <v/>
      </c>
      <c r="L13" s="12">
        <f>IF($A13="","",SUMIFS(Allocations!R3:R200,Allocations!$B3:$B200,$A13))</f>
        <v/>
      </c>
      <c r="M13" s="12">
        <f>IF($A13="","",SUMIFS(Allocations!S3:S200,Allocations!$B3:$B200,$A13))</f>
        <v/>
      </c>
      <c r="N13" s="12">
        <f>IF($A13="","",SUM(B13:M13))</f>
        <v/>
      </c>
    </row>
    <row r="14">
      <c r="A14" s="11">
        <f>IF(Projects!A12="","",Projects!A12)</f>
        <v/>
      </c>
      <c r="B14" s="12">
        <f>IF($A14="","",SUMIFS(Allocations!H3:H200,Allocations!$B3:$B200,$A14))</f>
        <v/>
      </c>
      <c r="C14" s="12">
        <f>IF($A14="","",SUMIFS(Allocations!I3:I200,Allocations!$B3:$B200,$A14))</f>
        <v/>
      </c>
      <c r="D14" s="12">
        <f>IF($A14="","",SUMIFS(Allocations!J3:J200,Allocations!$B3:$B200,$A14))</f>
        <v/>
      </c>
      <c r="E14" s="12">
        <f>IF($A14="","",SUMIFS(Allocations!K3:K200,Allocations!$B3:$B200,$A14))</f>
        <v/>
      </c>
      <c r="F14" s="12">
        <f>IF($A14="","",SUMIFS(Allocations!L3:L200,Allocations!$B3:$B200,$A14))</f>
        <v/>
      </c>
      <c r="G14" s="12">
        <f>IF($A14="","",SUMIFS(Allocations!M3:M200,Allocations!$B3:$B200,$A14))</f>
        <v/>
      </c>
      <c r="H14" s="12">
        <f>IF($A14="","",SUMIFS(Allocations!N3:N200,Allocations!$B3:$B200,$A14))</f>
        <v/>
      </c>
      <c r="I14" s="12">
        <f>IF($A14="","",SUMIFS(Allocations!O3:O200,Allocations!$B3:$B200,$A14))</f>
        <v/>
      </c>
      <c r="J14" s="12">
        <f>IF($A14="","",SUMIFS(Allocations!P3:P200,Allocations!$B3:$B200,$A14))</f>
        <v/>
      </c>
      <c r="K14" s="12">
        <f>IF($A14="","",SUMIFS(Allocations!Q3:Q200,Allocations!$B3:$B200,$A14))</f>
        <v/>
      </c>
      <c r="L14" s="12">
        <f>IF($A14="","",SUMIFS(Allocations!R3:R200,Allocations!$B3:$B200,$A14))</f>
        <v/>
      </c>
      <c r="M14" s="12">
        <f>IF($A14="","",SUMIFS(Allocations!S3:S200,Allocations!$B3:$B200,$A14))</f>
        <v/>
      </c>
      <c r="N14" s="12">
        <f>IF($A14="","",SUM(B14:M14))</f>
        <v/>
      </c>
    </row>
    <row r="15">
      <c r="A15" s="11">
        <f>IF(Projects!A13="","",Projects!A13)</f>
        <v/>
      </c>
      <c r="B15" s="12">
        <f>IF($A15="","",SUMIFS(Allocations!H3:H200,Allocations!$B3:$B200,$A15))</f>
        <v/>
      </c>
      <c r="C15" s="12">
        <f>IF($A15="","",SUMIFS(Allocations!I3:I200,Allocations!$B3:$B200,$A15))</f>
        <v/>
      </c>
      <c r="D15" s="12">
        <f>IF($A15="","",SUMIFS(Allocations!J3:J200,Allocations!$B3:$B200,$A15))</f>
        <v/>
      </c>
      <c r="E15" s="12">
        <f>IF($A15="","",SUMIFS(Allocations!K3:K200,Allocations!$B3:$B200,$A15))</f>
        <v/>
      </c>
      <c r="F15" s="12">
        <f>IF($A15="","",SUMIFS(Allocations!L3:L200,Allocations!$B3:$B200,$A15))</f>
        <v/>
      </c>
      <c r="G15" s="12">
        <f>IF($A15="","",SUMIFS(Allocations!M3:M200,Allocations!$B3:$B200,$A15))</f>
        <v/>
      </c>
      <c r="H15" s="12">
        <f>IF($A15="","",SUMIFS(Allocations!N3:N200,Allocations!$B3:$B200,$A15))</f>
        <v/>
      </c>
      <c r="I15" s="12">
        <f>IF($A15="","",SUMIFS(Allocations!O3:O200,Allocations!$B3:$B200,$A15))</f>
        <v/>
      </c>
      <c r="J15" s="12">
        <f>IF($A15="","",SUMIFS(Allocations!P3:P200,Allocations!$B3:$B200,$A15))</f>
        <v/>
      </c>
      <c r="K15" s="12">
        <f>IF($A15="","",SUMIFS(Allocations!Q3:Q200,Allocations!$B3:$B200,$A15))</f>
        <v/>
      </c>
      <c r="L15" s="12">
        <f>IF($A15="","",SUMIFS(Allocations!R3:R200,Allocations!$B3:$B200,$A15))</f>
        <v/>
      </c>
      <c r="M15" s="12">
        <f>IF($A15="","",SUMIFS(Allocations!S3:S200,Allocations!$B3:$B200,$A15))</f>
        <v/>
      </c>
      <c r="N15" s="12">
        <f>IF($A15="","",SUM(B15:M15))</f>
        <v/>
      </c>
    </row>
    <row r="16">
      <c r="A16" s="11">
        <f>IF(Projects!A14="","",Projects!A14)</f>
        <v/>
      </c>
      <c r="B16" s="12">
        <f>IF($A16="","",SUMIFS(Allocations!H3:H200,Allocations!$B3:$B200,$A16))</f>
        <v/>
      </c>
      <c r="C16" s="12">
        <f>IF($A16="","",SUMIFS(Allocations!I3:I200,Allocations!$B3:$B200,$A16))</f>
        <v/>
      </c>
      <c r="D16" s="12">
        <f>IF($A16="","",SUMIFS(Allocations!J3:J200,Allocations!$B3:$B200,$A16))</f>
        <v/>
      </c>
      <c r="E16" s="12">
        <f>IF($A16="","",SUMIFS(Allocations!K3:K200,Allocations!$B3:$B200,$A16))</f>
        <v/>
      </c>
      <c r="F16" s="12">
        <f>IF($A16="","",SUMIFS(Allocations!L3:L200,Allocations!$B3:$B200,$A16))</f>
        <v/>
      </c>
      <c r="G16" s="12">
        <f>IF($A16="","",SUMIFS(Allocations!M3:M200,Allocations!$B3:$B200,$A16))</f>
        <v/>
      </c>
      <c r="H16" s="12">
        <f>IF($A16="","",SUMIFS(Allocations!N3:N200,Allocations!$B3:$B200,$A16))</f>
        <v/>
      </c>
      <c r="I16" s="12">
        <f>IF($A16="","",SUMIFS(Allocations!O3:O200,Allocations!$B3:$B200,$A16))</f>
        <v/>
      </c>
      <c r="J16" s="12">
        <f>IF($A16="","",SUMIFS(Allocations!P3:P200,Allocations!$B3:$B200,$A16))</f>
        <v/>
      </c>
      <c r="K16" s="12">
        <f>IF($A16="","",SUMIFS(Allocations!Q3:Q200,Allocations!$B3:$B200,$A16))</f>
        <v/>
      </c>
      <c r="L16" s="12">
        <f>IF($A16="","",SUMIFS(Allocations!R3:R200,Allocations!$B3:$B200,$A16))</f>
        <v/>
      </c>
      <c r="M16" s="12">
        <f>IF($A16="","",SUMIFS(Allocations!S3:S200,Allocations!$B3:$B200,$A16))</f>
        <v/>
      </c>
      <c r="N16" s="12">
        <f>IF($A16="","",SUM(B16:M16))</f>
        <v/>
      </c>
    </row>
    <row r="17">
      <c r="A17" s="11">
        <f>IF(Projects!A15="","",Projects!A15)</f>
        <v/>
      </c>
      <c r="B17" s="12">
        <f>IF($A17="","",SUMIFS(Allocations!H3:H200,Allocations!$B3:$B200,$A17))</f>
        <v/>
      </c>
      <c r="C17" s="12">
        <f>IF($A17="","",SUMIFS(Allocations!I3:I200,Allocations!$B3:$B200,$A17))</f>
        <v/>
      </c>
      <c r="D17" s="12">
        <f>IF($A17="","",SUMIFS(Allocations!J3:J200,Allocations!$B3:$B200,$A17))</f>
        <v/>
      </c>
      <c r="E17" s="12">
        <f>IF($A17="","",SUMIFS(Allocations!K3:K200,Allocations!$B3:$B200,$A17))</f>
        <v/>
      </c>
      <c r="F17" s="12">
        <f>IF($A17="","",SUMIFS(Allocations!L3:L200,Allocations!$B3:$B200,$A17))</f>
        <v/>
      </c>
      <c r="G17" s="12">
        <f>IF($A17="","",SUMIFS(Allocations!M3:M200,Allocations!$B3:$B200,$A17))</f>
        <v/>
      </c>
      <c r="H17" s="12">
        <f>IF($A17="","",SUMIFS(Allocations!N3:N200,Allocations!$B3:$B200,$A17))</f>
        <v/>
      </c>
      <c r="I17" s="12">
        <f>IF($A17="","",SUMIFS(Allocations!O3:O200,Allocations!$B3:$B200,$A17))</f>
        <v/>
      </c>
      <c r="J17" s="12">
        <f>IF($A17="","",SUMIFS(Allocations!P3:P200,Allocations!$B3:$B200,$A17))</f>
        <v/>
      </c>
      <c r="K17" s="12">
        <f>IF($A17="","",SUMIFS(Allocations!Q3:Q200,Allocations!$B3:$B200,$A17))</f>
        <v/>
      </c>
      <c r="L17" s="12">
        <f>IF($A17="","",SUMIFS(Allocations!R3:R200,Allocations!$B3:$B200,$A17))</f>
        <v/>
      </c>
      <c r="M17" s="12">
        <f>IF($A17="","",SUMIFS(Allocations!S3:S200,Allocations!$B3:$B200,$A17))</f>
        <v/>
      </c>
      <c r="N17" s="12">
        <f>IF($A17="","",SUM(B17:M17))</f>
        <v/>
      </c>
    </row>
    <row r="18">
      <c r="A18" s="11">
        <f>IF(Projects!A16="","",Projects!A16)</f>
        <v/>
      </c>
      <c r="B18" s="12">
        <f>IF($A18="","",SUMIFS(Allocations!H3:H200,Allocations!$B3:$B200,$A18))</f>
        <v/>
      </c>
      <c r="C18" s="12">
        <f>IF($A18="","",SUMIFS(Allocations!I3:I200,Allocations!$B3:$B200,$A18))</f>
        <v/>
      </c>
      <c r="D18" s="12">
        <f>IF($A18="","",SUMIFS(Allocations!J3:J200,Allocations!$B3:$B200,$A18))</f>
        <v/>
      </c>
      <c r="E18" s="12">
        <f>IF($A18="","",SUMIFS(Allocations!K3:K200,Allocations!$B3:$B200,$A18))</f>
        <v/>
      </c>
      <c r="F18" s="12">
        <f>IF($A18="","",SUMIFS(Allocations!L3:L200,Allocations!$B3:$B200,$A18))</f>
        <v/>
      </c>
      <c r="G18" s="12">
        <f>IF($A18="","",SUMIFS(Allocations!M3:M200,Allocations!$B3:$B200,$A18))</f>
        <v/>
      </c>
      <c r="H18" s="12">
        <f>IF($A18="","",SUMIFS(Allocations!N3:N200,Allocations!$B3:$B200,$A18))</f>
        <v/>
      </c>
      <c r="I18" s="12">
        <f>IF($A18="","",SUMIFS(Allocations!O3:O200,Allocations!$B3:$B200,$A18))</f>
        <v/>
      </c>
      <c r="J18" s="12">
        <f>IF($A18="","",SUMIFS(Allocations!P3:P200,Allocations!$B3:$B200,$A18))</f>
        <v/>
      </c>
      <c r="K18" s="12">
        <f>IF($A18="","",SUMIFS(Allocations!Q3:Q200,Allocations!$B3:$B200,$A18))</f>
        <v/>
      </c>
      <c r="L18" s="12">
        <f>IF($A18="","",SUMIFS(Allocations!R3:R200,Allocations!$B3:$B200,$A18))</f>
        <v/>
      </c>
      <c r="M18" s="12">
        <f>IF($A18="","",SUMIFS(Allocations!S3:S200,Allocations!$B3:$B200,$A18))</f>
        <v/>
      </c>
      <c r="N18" s="12">
        <f>IF($A18="","",SUM(B18:M18))</f>
        <v/>
      </c>
    </row>
    <row r="19">
      <c r="A19" s="11">
        <f>IF(Projects!A17="","",Projects!A17)</f>
        <v/>
      </c>
      <c r="B19" s="12">
        <f>IF($A19="","",SUMIFS(Allocations!H3:H200,Allocations!$B3:$B200,$A19))</f>
        <v/>
      </c>
      <c r="C19" s="12">
        <f>IF($A19="","",SUMIFS(Allocations!I3:I200,Allocations!$B3:$B200,$A19))</f>
        <v/>
      </c>
      <c r="D19" s="12">
        <f>IF($A19="","",SUMIFS(Allocations!J3:J200,Allocations!$B3:$B200,$A19))</f>
        <v/>
      </c>
      <c r="E19" s="12">
        <f>IF($A19="","",SUMIFS(Allocations!K3:K200,Allocations!$B3:$B200,$A19))</f>
        <v/>
      </c>
      <c r="F19" s="12">
        <f>IF($A19="","",SUMIFS(Allocations!L3:L200,Allocations!$B3:$B200,$A19))</f>
        <v/>
      </c>
      <c r="G19" s="12">
        <f>IF($A19="","",SUMIFS(Allocations!M3:M200,Allocations!$B3:$B200,$A19))</f>
        <v/>
      </c>
      <c r="H19" s="12">
        <f>IF($A19="","",SUMIFS(Allocations!N3:N200,Allocations!$B3:$B200,$A19))</f>
        <v/>
      </c>
      <c r="I19" s="12">
        <f>IF($A19="","",SUMIFS(Allocations!O3:O200,Allocations!$B3:$B200,$A19))</f>
        <v/>
      </c>
      <c r="J19" s="12">
        <f>IF($A19="","",SUMIFS(Allocations!P3:P200,Allocations!$B3:$B200,$A19))</f>
        <v/>
      </c>
      <c r="K19" s="12">
        <f>IF($A19="","",SUMIFS(Allocations!Q3:Q200,Allocations!$B3:$B200,$A19))</f>
        <v/>
      </c>
      <c r="L19" s="12">
        <f>IF($A19="","",SUMIFS(Allocations!R3:R200,Allocations!$B3:$B200,$A19))</f>
        <v/>
      </c>
      <c r="M19" s="12">
        <f>IF($A19="","",SUMIFS(Allocations!S3:S200,Allocations!$B3:$B200,$A19))</f>
        <v/>
      </c>
      <c r="N19" s="12">
        <f>IF($A19="","",SUM(B19:M19))</f>
        <v/>
      </c>
    </row>
    <row r="20">
      <c r="A20" s="11">
        <f>IF(Projects!A18="","",Projects!A18)</f>
        <v/>
      </c>
      <c r="B20" s="12">
        <f>IF($A20="","",SUMIFS(Allocations!H3:H200,Allocations!$B3:$B200,$A20))</f>
        <v/>
      </c>
      <c r="C20" s="12">
        <f>IF($A20="","",SUMIFS(Allocations!I3:I200,Allocations!$B3:$B200,$A20))</f>
        <v/>
      </c>
      <c r="D20" s="12">
        <f>IF($A20="","",SUMIFS(Allocations!J3:J200,Allocations!$B3:$B200,$A20))</f>
        <v/>
      </c>
      <c r="E20" s="12">
        <f>IF($A20="","",SUMIFS(Allocations!K3:K200,Allocations!$B3:$B200,$A20))</f>
        <v/>
      </c>
      <c r="F20" s="12">
        <f>IF($A20="","",SUMIFS(Allocations!L3:L200,Allocations!$B3:$B200,$A20))</f>
        <v/>
      </c>
      <c r="G20" s="12">
        <f>IF($A20="","",SUMIFS(Allocations!M3:M200,Allocations!$B3:$B200,$A20))</f>
        <v/>
      </c>
      <c r="H20" s="12">
        <f>IF($A20="","",SUMIFS(Allocations!N3:N200,Allocations!$B3:$B200,$A20))</f>
        <v/>
      </c>
      <c r="I20" s="12">
        <f>IF($A20="","",SUMIFS(Allocations!O3:O200,Allocations!$B3:$B200,$A20))</f>
        <v/>
      </c>
      <c r="J20" s="12">
        <f>IF($A20="","",SUMIFS(Allocations!P3:P200,Allocations!$B3:$B200,$A20))</f>
        <v/>
      </c>
      <c r="K20" s="12">
        <f>IF($A20="","",SUMIFS(Allocations!Q3:Q200,Allocations!$B3:$B200,$A20))</f>
        <v/>
      </c>
      <c r="L20" s="12">
        <f>IF($A20="","",SUMIFS(Allocations!R3:R200,Allocations!$B3:$B200,$A20))</f>
        <v/>
      </c>
      <c r="M20" s="12">
        <f>IF($A20="","",SUMIFS(Allocations!S3:S200,Allocations!$B3:$B200,$A20))</f>
        <v/>
      </c>
      <c r="N20" s="12">
        <f>IF($A20="","",SUM(B20:M20))</f>
        <v/>
      </c>
    </row>
    <row r="21">
      <c r="A21" s="11">
        <f>IF(Projects!A19="","",Projects!A19)</f>
        <v/>
      </c>
      <c r="B21" s="12">
        <f>IF($A21="","",SUMIFS(Allocations!H3:H200,Allocations!$B3:$B200,$A21))</f>
        <v/>
      </c>
      <c r="C21" s="12">
        <f>IF($A21="","",SUMIFS(Allocations!I3:I200,Allocations!$B3:$B200,$A21))</f>
        <v/>
      </c>
      <c r="D21" s="12">
        <f>IF($A21="","",SUMIFS(Allocations!J3:J200,Allocations!$B3:$B200,$A21))</f>
        <v/>
      </c>
      <c r="E21" s="12">
        <f>IF($A21="","",SUMIFS(Allocations!K3:K200,Allocations!$B3:$B200,$A21))</f>
        <v/>
      </c>
      <c r="F21" s="12">
        <f>IF($A21="","",SUMIFS(Allocations!L3:L200,Allocations!$B3:$B200,$A21))</f>
        <v/>
      </c>
      <c r="G21" s="12">
        <f>IF($A21="","",SUMIFS(Allocations!M3:M200,Allocations!$B3:$B200,$A21))</f>
        <v/>
      </c>
      <c r="H21" s="12">
        <f>IF($A21="","",SUMIFS(Allocations!N3:N200,Allocations!$B3:$B200,$A21))</f>
        <v/>
      </c>
      <c r="I21" s="12">
        <f>IF($A21="","",SUMIFS(Allocations!O3:O200,Allocations!$B3:$B200,$A21))</f>
        <v/>
      </c>
      <c r="J21" s="12">
        <f>IF($A21="","",SUMIFS(Allocations!P3:P200,Allocations!$B3:$B200,$A21))</f>
        <v/>
      </c>
      <c r="K21" s="12">
        <f>IF($A21="","",SUMIFS(Allocations!Q3:Q200,Allocations!$B3:$B200,$A21))</f>
        <v/>
      </c>
      <c r="L21" s="12">
        <f>IF($A21="","",SUMIFS(Allocations!R3:R200,Allocations!$B3:$B200,$A21))</f>
        <v/>
      </c>
      <c r="M21" s="12">
        <f>IF($A21="","",SUMIFS(Allocations!S3:S200,Allocations!$B3:$B200,$A21))</f>
        <v/>
      </c>
      <c r="N21" s="12">
        <f>IF($A21="","",SUM(B21:M21))</f>
        <v/>
      </c>
    </row>
    <row r="22">
      <c r="A22" s="11">
        <f>IF(Projects!A20="","",Projects!A20)</f>
        <v/>
      </c>
      <c r="B22" s="12">
        <f>IF($A22="","",SUMIFS(Allocations!H3:H200,Allocations!$B3:$B200,$A22))</f>
        <v/>
      </c>
      <c r="C22" s="12">
        <f>IF($A22="","",SUMIFS(Allocations!I3:I200,Allocations!$B3:$B200,$A22))</f>
        <v/>
      </c>
      <c r="D22" s="12">
        <f>IF($A22="","",SUMIFS(Allocations!J3:J200,Allocations!$B3:$B200,$A22))</f>
        <v/>
      </c>
      <c r="E22" s="12">
        <f>IF($A22="","",SUMIFS(Allocations!K3:K200,Allocations!$B3:$B200,$A22))</f>
        <v/>
      </c>
      <c r="F22" s="12">
        <f>IF($A22="","",SUMIFS(Allocations!L3:L200,Allocations!$B3:$B200,$A22))</f>
        <v/>
      </c>
      <c r="G22" s="12">
        <f>IF($A22="","",SUMIFS(Allocations!M3:M200,Allocations!$B3:$B200,$A22))</f>
        <v/>
      </c>
      <c r="H22" s="12">
        <f>IF($A22="","",SUMIFS(Allocations!N3:N200,Allocations!$B3:$B200,$A22))</f>
        <v/>
      </c>
      <c r="I22" s="12">
        <f>IF($A22="","",SUMIFS(Allocations!O3:O200,Allocations!$B3:$B200,$A22))</f>
        <v/>
      </c>
      <c r="J22" s="12">
        <f>IF($A22="","",SUMIFS(Allocations!P3:P200,Allocations!$B3:$B200,$A22))</f>
        <v/>
      </c>
      <c r="K22" s="12">
        <f>IF($A22="","",SUMIFS(Allocations!Q3:Q200,Allocations!$B3:$B200,$A22))</f>
        <v/>
      </c>
      <c r="L22" s="12">
        <f>IF($A22="","",SUMIFS(Allocations!R3:R200,Allocations!$B3:$B200,$A22))</f>
        <v/>
      </c>
      <c r="M22" s="12">
        <f>IF($A22="","",SUMIFS(Allocations!S3:S200,Allocations!$B3:$B200,$A22))</f>
        <v/>
      </c>
      <c r="N22" s="12">
        <f>IF($A22="","",SUM(B22:M22))</f>
        <v/>
      </c>
    </row>
    <row r="23">
      <c r="A23" s="11">
        <f>IF(Projects!A21="","",Projects!A21)</f>
        <v/>
      </c>
      <c r="B23" s="12">
        <f>IF($A23="","",SUMIFS(Allocations!H3:H200,Allocations!$B3:$B200,$A23))</f>
        <v/>
      </c>
      <c r="C23" s="12">
        <f>IF($A23="","",SUMIFS(Allocations!I3:I200,Allocations!$B3:$B200,$A23))</f>
        <v/>
      </c>
      <c r="D23" s="12">
        <f>IF($A23="","",SUMIFS(Allocations!J3:J200,Allocations!$B3:$B200,$A23))</f>
        <v/>
      </c>
      <c r="E23" s="12">
        <f>IF($A23="","",SUMIFS(Allocations!K3:K200,Allocations!$B3:$B200,$A23))</f>
        <v/>
      </c>
      <c r="F23" s="12">
        <f>IF($A23="","",SUMIFS(Allocations!L3:L200,Allocations!$B3:$B200,$A23))</f>
        <v/>
      </c>
      <c r="G23" s="12">
        <f>IF($A23="","",SUMIFS(Allocations!M3:M200,Allocations!$B3:$B200,$A23))</f>
        <v/>
      </c>
      <c r="H23" s="12">
        <f>IF($A23="","",SUMIFS(Allocations!N3:N200,Allocations!$B3:$B200,$A23))</f>
        <v/>
      </c>
      <c r="I23" s="12">
        <f>IF($A23="","",SUMIFS(Allocations!O3:O200,Allocations!$B3:$B200,$A23))</f>
        <v/>
      </c>
      <c r="J23" s="12">
        <f>IF($A23="","",SUMIFS(Allocations!P3:P200,Allocations!$B3:$B200,$A23))</f>
        <v/>
      </c>
      <c r="K23" s="12">
        <f>IF($A23="","",SUMIFS(Allocations!Q3:Q200,Allocations!$B3:$B200,$A23))</f>
        <v/>
      </c>
      <c r="L23" s="12">
        <f>IF($A23="","",SUMIFS(Allocations!R3:R200,Allocations!$B3:$B200,$A23))</f>
        <v/>
      </c>
      <c r="M23" s="12">
        <f>IF($A23="","",SUMIFS(Allocations!S3:S200,Allocations!$B3:$B200,$A23))</f>
        <v/>
      </c>
      <c r="N23" s="12">
        <f>IF($A23="","",SUM(B23:M23))</f>
        <v/>
      </c>
    </row>
    <row r="24">
      <c r="A24" s="13" t="inlineStr">
        <is>
          <t>TOTAL (all projects)</t>
        </is>
      </c>
      <c r="B24" s="14">
        <f>SUM(B4:B23)</f>
        <v/>
      </c>
      <c r="C24" s="14">
        <f>SUM(C4:C23)</f>
        <v/>
      </c>
      <c r="D24" s="14">
        <f>SUM(D4:D23)</f>
        <v/>
      </c>
      <c r="E24" s="14">
        <f>SUM(E4:E23)</f>
        <v/>
      </c>
      <c r="F24" s="14">
        <f>SUM(F4:F23)</f>
        <v/>
      </c>
      <c r="G24" s="14">
        <f>SUM(G4:G23)</f>
        <v/>
      </c>
      <c r="H24" s="14">
        <f>SUM(H4:H23)</f>
        <v/>
      </c>
      <c r="I24" s="14">
        <f>SUM(I4:I23)</f>
        <v/>
      </c>
      <c r="J24" s="14">
        <f>SUM(J4:J23)</f>
        <v/>
      </c>
      <c r="K24" s="14">
        <f>SUM(K4:K23)</f>
        <v/>
      </c>
      <c r="L24" s="14">
        <f>SUM(L4:L23)</f>
        <v/>
      </c>
      <c r="M24" s="14">
        <f>SUM(M4:M23)</f>
        <v/>
      </c>
      <c r="N24" s="14">
        <f>SUM(N4:N23)</f>
        <v/>
      </c>
    </row>
    <row r="25"/>
    <row r="26">
      <c r="A26" s="17" t="inlineStr">
        <is>
          <t>Project budget (SGD) - Effort x Mandays x DevRate</t>
        </is>
      </c>
    </row>
    <row r="27">
      <c r="A27" s="4" t="inlineStr">
        <is>
          <t>Project</t>
        </is>
      </c>
      <c r="B27" s="22" t="inlineStr">
        <is>
          <t>Jan</t>
        </is>
      </c>
      <c r="C27" s="22" t="inlineStr">
        <is>
          <t>Feb</t>
        </is>
      </c>
      <c r="D27" s="22" t="inlineStr">
        <is>
          <t>Mar</t>
        </is>
      </c>
      <c r="E27" s="22" t="inlineStr">
        <is>
          <t>Apr</t>
        </is>
      </c>
      <c r="F27" s="22" t="inlineStr">
        <is>
          <t>May</t>
        </is>
      </c>
      <c r="G27" s="22" t="inlineStr">
        <is>
          <t>Jun</t>
        </is>
      </c>
      <c r="H27" s="22" t="inlineStr">
        <is>
          <t>Jul</t>
        </is>
      </c>
      <c r="I27" s="22" t="inlineStr">
        <is>
          <t>Aug</t>
        </is>
      </c>
      <c r="J27" s="22" t="inlineStr">
        <is>
          <t>Sep</t>
        </is>
      </c>
      <c r="K27" s="22" t="inlineStr">
        <is>
          <t>Oct</t>
        </is>
      </c>
      <c r="L27" s="22" t="inlineStr">
        <is>
          <t>Nov</t>
        </is>
      </c>
      <c r="M27" s="22" t="inlineStr">
        <is>
          <t>Dec</t>
        </is>
      </c>
      <c r="N27" s="22" t="inlineStr">
        <is>
          <t>Total</t>
        </is>
      </c>
    </row>
    <row r="28">
      <c r="A28" s="23">
        <f>IF(Projects!A2="","",Projects!A2)</f>
        <v/>
      </c>
      <c r="B28" s="24">
        <f>IF($A28="","",Mandays*SUMPRODUCT((Allocations!$B$3:$B$200=$A28)*(Allocations!$H$3:$H$200)*(Allocations!$T$3:$T$200)))</f>
        <v/>
      </c>
      <c r="C28" s="24">
        <f>IF($A28="","",Mandays*SUMPRODUCT((Allocations!$B$3:$B$200=$A28)*(Allocations!$I$3:$I$200)*(Allocations!$T$3:$T$200)))</f>
        <v/>
      </c>
      <c r="D28" s="24">
        <f>IF($A28="","",Mandays*SUMPRODUCT((Allocations!$B$3:$B$200=$A28)*(Allocations!$J$3:$J$200)*(Allocations!$T$3:$T$200)))</f>
        <v/>
      </c>
      <c r="E28" s="24">
        <f>IF($A28="","",Mandays*SUMPRODUCT((Allocations!$B$3:$B$200=$A28)*(Allocations!$K$3:$K$200)*(Allocations!$T$3:$T$200)))</f>
        <v/>
      </c>
      <c r="F28" s="24">
        <f>IF($A28="","",Mandays*SUMPRODUCT((Allocations!$B$3:$B$200=$A28)*(Allocations!$L$3:$L$200)*(Allocations!$T$3:$T$200)))</f>
        <v/>
      </c>
      <c r="G28" s="24">
        <f>IF($A28="","",Mandays*SUMPRODUCT((Allocations!$B$3:$B$200=$A28)*(Allocations!$M$3:$M$200)*(Allocations!$T$3:$T$200)))</f>
        <v/>
      </c>
      <c r="H28" s="24">
        <f>IF($A28="","",Mandays*SUMPRODUCT((Allocations!$B$3:$B$200=$A28)*(Allocations!$N$3:$N$200)*(Allocations!$T$3:$T$200)))</f>
        <v/>
      </c>
      <c r="I28" s="24">
        <f>IF($A28="","",Mandays*SUMPRODUCT((Allocations!$B$3:$B$200=$A28)*(Allocations!$O$3:$O$200)*(Allocations!$T$3:$T$200)))</f>
        <v/>
      </c>
      <c r="J28" s="24">
        <f>IF($A28="","",Mandays*SUMPRODUCT((Allocations!$B$3:$B$200=$A28)*(Allocations!$P$3:$P$200)*(Allocations!$T$3:$T$200)))</f>
        <v/>
      </c>
      <c r="K28" s="24">
        <f>IF($A28="","",Mandays*SUMPRODUCT((Allocations!$B$3:$B$200=$A28)*(Allocations!$Q$3:$Q$200)*(Allocations!$T$3:$T$200)))</f>
        <v/>
      </c>
      <c r="L28" s="24">
        <f>IF($A28="","",Mandays*SUMPRODUCT((Allocations!$B$3:$B$200=$A28)*(Allocations!$R$3:$R$200)*(Allocations!$T$3:$T$200)))</f>
        <v/>
      </c>
      <c r="M28" s="24">
        <f>IF($A28="","",Mandays*SUMPRODUCT((Allocations!$B$3:$B$200=$A28)*(Allocations!$S$3:$S$200)*(Allocations!$T$3:$T$200)))</f>
        <v/>
      </c>
      <c r="N28" s="24">
        <f>IF($A28="","",SUM(B28:M28))</f>
        <v/>
      </c>
    </row>
    <row r="29">
      <c r="A29" s="25">
        <f>IF(Projects!A3="","",Projects!A3)</f>
        <v/>
      </c>
      <c r="B29" s="26">
        <f>IF($A29="","",Mandays*SUMPRODUCT((Allocations!$B$3:$B$200=$A29)*(Allocations!$H$3:$H$200)*(Allocations!$T$3:$T$200)))</f>
        <v/>
      </c>
      <c r="C29" s="26">
        <f>IF($A29="","",Mandays*SUMPRODUCT((Allocations!$B$3:$B$200=$A29)*(Allocations!$I$3:$I$200)*(Allocations!$T$3:$T$200)))</f>
        <v/>
      </c>
      <c r="D29" s="26">
        <f>IF($A29="","",Mandays*SUMPRODUCT((Allocations!$B$3:$B$200=$A29)*(Allocations!$J$3:$J$200)*(Allocations!$T$3:$T$200)))</f>
        <v/>
      </c>
      <c r="E29" s="26">
        <f>IF($A29="","",Mandays*SUMPRODUCT((Allocations!$B$3:$B$200=$A29)*(Allocations!$K$3:$K$200)*(Allocations!$T$3:$T$200)))</f>
        <v/>
      </c>
      <c r="F29" s="26">
        <f>IF($A29="","",Mandays*SUMPRODUCT((Allocations!$B$3:$B$200=$A29)*(Allocations!$L$3:$L$200)*(Allocations!$T$3:$T$200)))</f>
        <v/>
      </c>
      <c r="G29" s="26">
        <f>IF($A29="","",Mandays*SUMPRODUCT((Allocations!$B$3:$B$200=$A29)*(Allocations!$M$3:$M$200)*(Allocations!$T$3:$T$200)))</f>
        <v/>
      </c>
      <c r="H29" s="26">
        <f>IF($A29="","",Mandays*SUMPRODUCT((Allocations!$B$3:$B$200=$A29)*(Allocations!$N$3:$N$200)*(Allocations!$T$3:$T$200)))</f>
        <v/>
      </c>
      <c r="I29" s="26">
        <f>IF($A29="","",Mandays*SUMPRODUCT((Allocations!$B$3:$B$200=$A29)*(Allocations!$O$3:$O$200)*(Allocations!$T$3:$T$200)))</f>
        <v/>
      </c>
      <c r="J29" s="26">
        <f>IF($A29="","",Mandays*SUMPRODUCT((Allocations!$B$3:$B$200=$A29)*(Allocations!$P$3:$P$200)*(Allocations!$T$3:$T$200)))</f>
        <v/>
      </c>
      <c r="K29" s="26">
        <f>IF($A29="","",Mandays*SUMPRODUCT((Allocations!$B$3:$B$200=$A29)*(Allocations!$Q$3:$Q$200)*(Allocations!$T$3:$T$200)))</f>
        <v/>
      </c>
      <c r="L29" s="26">
        <f>IF($A29="","",Mandays*SUMPRODUCT((Allocations!$B$3:$B$200=$A29)*(Allocations!$R$3:$R$200)*(Allocations!$T$3:$T$200)))</f>
        <v/>
      </c>
      <c r="M29" s="26">
        <f>IF($A29="","",Mandays*SUMPRODUCT((Allocations!$B$3:$B$200=$A29)*(Allocations!$S$3:$S$200)*(Allocations!$T$3:$T$200)))</f>
        <v/>
      </c>
      <c r="N29" s="26">
        <f>IF($A29="","",SUM(B29:M29))</f>
        <v/>
      </c>
    </row>
    <row r="30">
      <c r="A30" s="23">
        <f>IF(Projects!A4="","",Projects!A4)</f>
        <v/>
      </c>
      <c r="B30" s="24">
        <f>IF($A30="","",Mandays*SUMPRODUCT((Allocations!$B$3:$B$200=$A30)*(Allocations!$H$3:$H$200)*(Allocations!$T$3:$T$200)))</f>
        <v/>
      </c>
      <c r="C30" s="24">
        <f>IF($A30="","",Mandays*SUMPRODUCT((Allocations!$B$3:$B$200=$A30)*(Allocations!$I$3:$I$200)*(Allocations!$T$3:$T$200)))</f>
        <v/>
      </c>
      <c r="D30" s="24">
        <f>IF($A30="","",Mandays*SUMPRODUCT((Allocations!$B$3:$B$200=$A30)*(Allocations!$J$3:$J$200)*(Allocations!$T$3:$T$200)))</f>
        <v/>
      </c>
      <c r="E30" s="24">
        <f>IF($A30="","",Mandays*SUMPRODUCT((Allocations!$B$3:$B$200=$A30)*(Allocations!$K$3:$K$200)*(Allocations!$T$3:$T$200)))</f>
        <v/>
      </c>
      <c r="F30" s="24">
        <f>IF($A30="","",Mandays*SUMPRODUCT((Allocations!$B$3:$B$200=$A30)*(Allocations!$L$3:$L$200)*(Allocations!$T$3:$T$200)))</f>
        <v/>
      </c>
      <c r="G30" s="24">
        <f>IF($A30="","",Mandays*SUMPRODUCT((Allocations!$B$3:$B$200=$A30)*(Allocations!$M$3:$M$200)*(Allocations!$T$3:$T$200)))</f>
        <v/>
      </c>
      <c r="H30" s="24">
        <f>IF($A30="","",Mandays*SUMPRODUCT((Allocations!$B$3:$B$200=$A30)*(Allocations!$N$3:$N$200)*(Allocations!$T$3:$T$200)))</f>
        <v/>
      </c>
      <c r="I30" s="24">
        <f>IF($A30="","",Mandays*SUMPRODUCT((Allocations!$B$3:$B$200=$A30)*(Allocations!$O$3:$O$200)*(Allocations!$T$3:$T$200)))</f>
        <v/>
      </c>
      <c r="J30" s="24">
        <f>IF($A30="","",Mandays*SUMPRODUCT((Allocations!$B$3:$B$200=$A30)*(Allocations!$P$3:$P$200)*(Allocations!$T$3:$T$200)))</f>
        <v/>
      </c>
      <c r="K30" s="24">
        <f>IF($A30="","",Mandays*SUMPRODUCT((Allocations!$B$3:$B$200=$A30)*(Allocations!$Q$3:$Q$200)*(Allocations!$T$3:$T$200)))</f>
        <v/>
      </c>
      <c r="L30" s="24">
        <f>IF($A30="","",Mandays*SUMPRODUCT((Allocations!$B$3:$B$200=$A30)*(Allocations!$R$3:$R$200)*(Allocations!$T$3:$T$200)))</f>
        <v/>
      </c>
      <c r="M30" s="24">
        <f>IF($A30="","",Mandays*SUMPRODUCT((Allocations!$B$3:$B$200=$A30)*(Allocations!$S$3:$S$200)*(Allocations!$T$3:$T$200)))</f>
        <v/>
      </c>
      <c r="N30" s="24">
        <f>IF($A30="","",SUM(B30:M30))</f>
        <v/>
      </c>
    </row>
    <row r="31">
      <c r="A31" s="23">
        <f>IF(Projects!A5="","",Projects!A5)</f>
        <v/>
      </c>
      <c r="B31" s="24">
        <f>IF($A31="","",Mandays*SUMPRODUCT((Allocations!$B$3:$B$200=$A31)*(Allocations!$H$3:$H$200)*(Allocations!$T$3:$T$200)))</f>
        <v/>
      </c>
      <c r="C31" s="24">
        <f>IF($A31="","",Mandays*SUMPRODUCT((Allocations!$B$3:$B$200=$A31)*(Allocations!$I$3:$I$200)*(Allocations!$T$3:$T$200)))</f>
        <v/>
      </c>
      <c r="D31" s="24">
        <f>IF($A31="","",Mandays*SUMPRODUCT((Allocations!$B$3:$B$200=$A31)*(Allocations!$J$3:$J$200)*(Allocations!$T$3:$T$200)))</f>
        <v/>
      </c>
      <c r="E31" s="24">
        <f>IF($A31="","",Mandays*SUMPRODUCT((Allocations!$B$3:$B$200=$A31)*(Allocations!$K$3:$K$200)*(Allocations!$T$3:$T$200)))</f>
        <v/>
      </c>
      <c r="F31" s="24">
        <f>IF($A31="","",Mandays*SUMPRODUCT((Allocations!$B$3:$B$200=$A31)*(Allocations!$L$3:$L$200)*(Allocations!$T$3:$T$200)))</f>
        <v/>
      </c>
      <c r="G31" s="24">
        <f>IF($A31="","",Mandays*SUMPRODUCT((Allocations!$B$3:$B$200=$A31)*(Allocations!$M$3:$M$200)*(Allocations!$T$3:$T$200)))</f>
        <v/>
      </c>
      <c r="H31" s="24">
        <f>IF($A31="","",Mandays*SUMPRODUCT((Allocations!$B$3:$B$200=$A31)*(Allocations!$N$3:$N$200)*(Allocations!$T$3:$T$200)))</f>
        <v/>
      </c>
      <c r="I31" s="24">
        <f>IF($A31="","",Mandays*SUMPRODUCT((Allocations!$B$3:$B$200=$A31)*(Allocations!$O$3:$O$200)*(Allocations!$T$3:$T$200)))</f>
        <v/>
      </c>
      <c r="J31" s="24">
        <f>IF($A31="","",Mandays*SUMPRODUCT((Allocations!$B$3:$B$200=$A31)*(Allocations!$P$3:$P$200)*(Allocations!$T$3:$T$200)))</f>
        <v/>
      </c>
      <c r="K31" s="24">
        <f>IF($A31="","",Mandays*SUMPRODUCT((Allocations!$B$3:$B$200=$A31)*(Allocations!$Q$3:$Q$200)*(Allocations!$T$3:$T$200)))</f>
        <v/>
      </c>
      <c r="L31" s="24">
        <f>IF($A31="","",Mandays*SUMPRODUCT((Allocations!$B$3:$B$200=$A31)*(Allocations!$R$3:$R$200)*(Allocations!$T$3:$T$200)))</f>
        <v/>
      </c>
      <c r="M31" s="24">
        <f>IF($A31="","",Mandays*SUMPRODUCT((Allocations!$B$3:$B$200=$A31)*(Allocations!$S$3:$S$200)*(Allocations!$T$3:$T$200)))</f>
        <v/>
      </c>
      <c r="N31" s="24">
        <f>IF($A31="","",SUM(B31:M31))</f>
        <v/>
      </c>
    </row>
    <row r="32">
      <c r="A32" s="23">
        <f>IF(Projects!A6="","",Projects!A6)</f>
        <v/>
      </c>
      <c r="B32" s="24">
        <f>IF($A32="","",Mandays*SUMPRODUCT((Allocations!$B$3:$B$200=$A32)*(Allocations!$H$3:$H$200)*(Allocations!$T$3:$T$200)))</f>
        <v/>
      </c>
      <c r="C32" s="24">
        <f>IF($A32="","",Mandays*SUMPRODUCT((Allocations!$B$3:$B$200=$A32)*(Allocations!$I$3:$I$200)*(Allocations!$T$3:$T$200)))</f>
        <v/>
      </c>
      <c r="D32" s="24">
        <f>IF($A32="","",Mandays*SUMPRODUCT((Allocations!$B$3:$B$200=$A32)*(Allocations!$J$3:$J$200)*(Allocations!$T$3:$T$200)))</f>
        <v/>
      </c>
      <c r="E32" s="24">
        <f>IF($A32="","",Mandays*SUMPRODUCT((Allocations!$B$3:$B$200=$A32)*(Allocations!$K$3:$K$200)*(Allocations!$T$3:$T$200)))</f>
        <v/>
      </c>
      <c r="F32" s="24">
        <f>IF($A32="","",Mandays*SUMPRODUCT((Allocations!$B$3:$B$200=$A32)*(Allocations!$L$3:$L$200)*(Allocations!$T$3:$T$200)))</f>
        <v/>
      </c>
      <c r="G32" s="24">
        <f>IF($A32="","",Mandays*SUMPRODUCT((Allocations!$B$3:$B$200=$A32)*(Allocations!$M$3:$M$200)*(Allocations!$T$3:$T$200)))</f>
        <v/>
      </c>
      <c r="H32" s="24">
        <f>IF($A32="","",Mandays*SUMPRODUCT((Allocations!$B$3:$B$200=$A32)*(Allocations!$N$3:$N$200)*(Allocations!$T$3:$T$200)))</f>
        <v/>
      </c>
      <c r="I32" s="24">
        <f>IF($A32="","",Mandays*SUMPRODUCT((Allocations!$B$3:$B$200=$A32)*(Allocations!$O$3:$O$200)*(Allocations!$T$3:$T$200)))</f>
        <v/>
      </c>
      <c r="J32" s="24">
        <f>IF($A32="","",Mandays*SUMPRODUCT((Allocations!$B$3:$B$200=$A32)*(Allocations!$P$3:$P$200)*(Allocations!$T$3:$T$200)))</f>
        <v/>
      </c>
      <c r="K32" s="24">
        <f>IF($A32="","",Mandays*SUMPRODUCT((Allocations!$B$3:$B$200=$A32)*(Allocations!$Q$3:$Q$200)*(Allocations!$T$3:$T$200)))</f>
        <v/>
      </c>
      <c r="L32" s="24">
        <f>IF($A32="","",Mandays*SUMPRODUCT((Allocations!$B$3:$B$200=$A32)*(Allocations!$R$3:$R$200)*(Allocations!$T$3:$T$200)))</f>
        <v/>
      </c>
      <c r="M32" s="24">
        <f>IF($A32="","",Mandays*SUMPRODUCT((Allocations!$B$3:$B$200=$A32)*(Allocations!$S$3:$S$200)*(Allocations!$T$3:$T$200)))</f>
        <v/>
      </c>
      <c r="N32" s="24">
        <f>IF($A32="","",SUM(B32:M32))</f>
        <v/>
      </c>
    </row>
    <row r="33">
      <c r="A33" s="23">
        <f>IF(Projects!A7="","",Projects!A7)</f>
        <v/>
      </c>
      <c r="B33" s="24">
        <f>IF($A33="","",Mandays*SUMPRODUCT((Allocations!$B$3:$B$200=$A33)*(Allocations!$H$3:$H$200)*(Allocations!$T$3:$T$200)))</f>
        <v/>
      </c>
      <c r="C33" s="24">
        <f>IF($A33="","",Mandays*SUMPRODUCT((Allocations!$B$3:$B$200=$A33)*(Allocations!$I$3:$I$200)*(Allocations!$T$3:$T$200)))</f>
        <v/>
      </c>
      <c r="D33" s="24">
        <f>IF($A33="","",Mandays*SUMPRODUCT((Allocations!$B$3:$B$200=$A33)*(Allocations!$J$3:$J$200)*(Allocations!$T$3:$T$200)))</f>
        <v/>
      </c>
      <c r="E33" s="24">
        <f>IF($A33="","",Mandays*SUMPRODUCT((Allocations!$B$3:$B$200=$A33)*(Allocations!$K$3:$K$200)*(Allocations!$T$3:$T$200)))</f>
        <v/>
      </c>
      <c r="F33" s="24">
        <f>IF($A33="","",Mandays*SUMPRODUCT((Allocations!$B$3:$B$200=$A33)*(Allocations!$L$3:$L$200)*(Allocations!$T$3:$T$200)))</f>
        <v/>
      </c>
      <c r="G33" s="24">
        <f>IF($A33="","",Mandays*SUMPRODUCT((Allocations!$B$3:$B$200=$A33)*(Allocations!$M$3:$M$200)*(Allocations!$T$3:$T$200)))</f>
        <v/>
      </c>
      <c r="H33" s="24">
        <f>IF($A33="","",Mandays*SUMPRODUCT((Allocations!$B$3:$B$200=$A33)*(Allocations!$N$3:$N$200)*(Allocations!$T$3:$T$200)))</f>
        <v/>
      </c>
      <c r="I33" s="24">
        <f>IF($A33="","",Mandays*SUMPRODUCT((Allocations!$B$3:$B$200=$A33)*(Allocations!$O$3:$O$200)*(Allocations!$T$3:$T$200)))</f>
        <v/>
      </c>
      <c r="J33" s="24">
        <f>IF($A33="","",Mandays*SUMPRODUCT((Allocations!$B$3:$B$200=$A33)*(Allocations!$P$3:$P$200)*(Allocations!$T$3:$T$200)))</f>
        <v/>
      </c>
      <c r="K33" s="24">
        <f>IF($A33="","",Mandays*SUMPRODUCT((Allocations!$B$3:$B$200=$A33)*(Allocations!$Q$3:$Q$200)*(Allocations!$T$3:$T$200)))</f>
        <v/>
      </c>
      <c r="L33" s="24">
        <f>IF($A33="","",Mandays*SUMPRODUCT((Allocations!$B$3:$B$200=$A33)*(Allocations!$R$3:$R$200)*(Allocations!$T$3:$T$200)))</f>
        <v/>
      </c>
      <c r="M33" s="24">
        <f>IF($A33="","",Mandays*SUMPRODUCT((Allocations!$B$3:$B$200=$A33)*(Allocations!$S$3:$S$200)*(Allocations!$T$3:$T$200)))</f>
        <v/>
      </c>
      <c r="N33" s="24">
        <f>IF($A33="","",SUM(B33:M33))</f>
        <v/>
      </c>
    </row>
    <row r="34">
      <c r="A34" s="23">
        <f>IF(Projects!A8="","",Projects!A8)</f>
        <v/>
      </c>
      <c r="B34" s="24">
        <f>IF($A34="","",Mandays*SUMPRODUCT((Allocations!$B$3:$B$200=$A34)*(Allocations!$H$3:$H$200)*(Allocations!$T$3:$T$200)))</f>
        <v/>
      </c>
      <c r="C34" s="24">
        <f>IF($A34="","",Mandays*SUMPRODUCT((Allocations!$B$3:$B$200=$A34)*(Allocations!$I$3:$I$200)*(Allocations!$T$3:$T$200)))</f>
        <v/>
      </c>
      <c r="D34" s="24">
        <f>IF($A34="","",Mandays*SUMPRODUCT((Allocations!$B$3:$B$200=$A34)*(Allocations!$J$3:$J$200)*(Allocations!$T$3:$T$200)))</f>
        <v/>
      </c>
      <c r="E34" s="24">
        <f>IF($A34="","",Mandays*SUMPRODUCT((Allocations!$B$3:$B$200=$A34)*(Allocations!$K$3:$K$200)*(Allocations!$T$3:$T$200)))</f>
        <v/>
      </c>
      <c r="F34" s="24">
        <f>IF($A34="","",Mandays*SUMPRODUCT((Allocations!$B$3:$B$200=$A34)*(Allocations!$L$3:$L$200)*(Allocations!$T$3:$T$200)))</f>
        <v/>
      </c>
      <c r="G34" s="24">
        <f>IF($A34="","",Mandays*SUMPRODUCT((Allocations!$B$3:$B$200=$A34)*(Allocations!$M$3:$M$200)*(Allocations!$T$3:$T$200)))</f>
        <v/>
      </c>
      <c r="H34" s="24">
        <f>IF($A34="","",Mandays*SUMPRODUCT((Allocations!$B$3:$B$200=$A34)*(Allocations!$N$3:$N$200)*(Allocations!$T$3:$T$200)))</f>
        <v/>
      </c>
      <c r="I34" s="24">
        <f>IF($A34="","",Mandays*SUMPRODUCT((Allocations!$B$3:$B$200=$A34)*(Allocations!$O$3:$O$200)*(Allocations!$T$3:$T$200)))</f>
        <v/>
      </c>
      <c r="J34" s="24">
        <f>IF($A34="","",Mandays*SUMPRODUCT((Allocations!$B$3:$B$200=$A34)*(Allocations!$P$3:$P$200)*(Allocations!$T$3:$T$200)))</f>
        <v/>
      </c>
      <c r="K34" s="24">
        <f>IF($A34="","",Mandays*SUMPRODUCT((Allocations!$B$3:$B$200=$A34)*(Allocations!$Q$3:$Q$200)*(Allocations!$T$3:$T$200)))</f>
        <v/>
      </c>
      <c r="L34" s="24">
        <f>IF($A34="","",Mandays*SUMPRODUCT((Allocations!$B$3:$B$200=$A34)*(Allocations!$R$3:$R$200)*(Allocations!$T$3:$T$200)))</f>
        <v/>
      </c>
      <c r="M34" s="24">
        <f>IF($A34="","",Mandays*SUMPRODUCT((Allocations!$B$3:$B$200=$A34)*(Allocations!$S$3:$S$200)*(Allocations!$T$3:$T$200)))</f>
        <v/>
      </c>
      <c r="N34" s="24">
        <f>IF($A34="","",SUM(B34:M34))</f>
        <v/>
      </c>
    </row>
    <row r="35">
      <c r="A35" s="23">
        <f>IF(Projects!A9="","",Projects!A9)</f>
        <v/>
      </c>
      <c r="B35" s="24">
        <f>IF($A35="","",Mandays*SUMPRODUCT((Allocations!$B$3:$B$200=$A35)*(Allocations!$H$3:$H$200)*(Allocations!$T$3:$T$200)))</f>
        <v/>
      </c>
      <c r="C35" s="24">
        <f>IF($A35="","",Mandays*SUMPRODUCT((Allocations!$B$3:$B$200=$A35)*(Allocations!$I$3:$I$200)*(Allocations!$T$3:$T$200)))</f>
        <v/>
      </c>
      <c r="D35" s="24">
        <f>IF($A35="","",Mandays*SUMPRODUCT((Allocations!$B$3:$B$200=$A35)*(Allocations!$J$3:$J$200)*(Allocations!$T$3:$T$200)))</f>
        <v/>
      </c>
      <c r="E35" s="24">
        <f>IF($A35="","",Mandays*SUMPRODUCT((Allocations!$B$3:$B$200=$A35)*(Allocations!$K$3:$K$200)*(Allocations!$T$3:$T$200)))</f>
        <v/>
      </c>
      <c r="F35" s="24">
        <f>IF($A35="","",Mandays*SUMPRODUCT((Allocations!$B$3:$B$200=$A35)*(Allocations!$L$3:$L$200)*(Allocations!$T$3:$T$200)))</f>
        <v/>
      </c>
      <c r="G35" s="24">
        <f>IF($A35="","",Mandays*SUMPRODUCT((Allocations!$B$3:$B$200=$A35)*(Allocations!$M$3:$M$200)*(Allocations!$T$3:$T$200)))</f>
        <v/>
      </c>
      <c r="H35" s="24">
        <f>IF($A35="","",Mandays*SUMPRODUCT((Allocations!$B$3:$B$200=$A35)*(Allocations!$N$3:$N$200)*(Allocations!$T$3:$T$200)))</f>
        <v/>
      </c>
      <c r="I35" s="24">
        <f>IF($A35="","",Mandays*SUMPRODUCT((Allocations!$B$3:$B$200=$A35)*(Allocations!$O$3:$O$200)*(Allocations!$T$3:$T$200)))</f>
        <v/>
      </c>
      <c r="J35" s="24">
        <f>IF($A35="","",Mandays*SUMPRODUCT((Allocations!$B$3:$B$200=$A35)*(Allocations!$P$3:$P$200)*(Allocations!$T$3:$T$200)))</f>
        <v/>
      </c>
      <c r="K35" s="24">
        <f>IF($A35="","",Mandays*SUMPRODUCT((Allocations!$B$3:$B$200=$A35)*(Allocations!$Q$3:$Q$200)*(Allocations!$T$3:$T$200)))</f>
        <v/>
      </c>
      <c r="L35" s="24">
        <f>IF($A35="","",Mandays*SUMPRODUCT((Allocations!$B$3:$B$200=$A35)*(Allocations!$R$3:$R$200)*(Allocations!$T$3:$T$200)))</f>
        <v/>
      </c>
      <c r="M35" s="24">
        <f>IF($A35="","",Mandays*SUMPRODUCT((Allocations!$B$3:$B$200=$A35)*(Allocations!$S$3:$S$200)*(Allocations!$T$3:$T$200)))</f>
        <v/>
      </c>
      <c r="N35" s="24">
        <f>IF($A35="","",SUM(B35:M35))</f>
        <v/>
      </c>
    </row>
    <row r="36">
      <c r="A36" s="23">
        <f>IF(Projects!A10="","",Projects!A10)</f>
        <v/>
      </c>
      <c r="B36" s="24">
        <f>IF($A36="","",Mandays*SUMPRODUCT((Allocations!$B$3:$B$200=$A36)*(Allocations!$H$3:$H$200)*(Allocations!$T$3:$T$200)))</f>
        <v/>
      </c>
      <c r="C36" s="24">
        <f>IF($A36="","",Mandays*SUMPRODUCT((Allocations!$B$3:$B$200=$A36)*(Allocations!$I$3:$I$200)*(Allocations!$T$3:$T$200)))</f>
        <v/>
      </c>
      <c r="D36" s="24">
        <f>IF($A36="","",Mandays*SUMPRODUCT((Allocations!$B$3:$B$200=$A36)*(Allocations!$J$3:$J$200)*(Allocations!$T$3:$T$200)))</f>
        <v/>
      </c>
      <c r="E36" s="24">
        <f>IF($A36="","",Mandays*SUMPRODUCT((Allocations!$B$3:$B$200=$A36)*(Allocations!$K$3:$K$200)*(Allocations!$T$3:$T$200)))</f>
        <v/>
      </c>
      <c r="F36" s="24">
        <f>IF($A36="","",Mandays*SUMPRODUCT((Allocations!$B$3:$B$200=$A36)*(Allocations!$L$3:$L$200)*(Allocations!$T$3:$T$200)))</f>
        <v/>
      </c>
      <c r="G36" s="24">
        <f>IF($A36="","",Mandays*SUMPRODUCT((Allocations!$B$3:$B$200=$A36)*(Allocations!$M$3:$M$200)*(Allocations!$T$3:$T$200)))</f>
        <v/>
      </c>
      <c r="H36" s="24">
        <f>IF($A36="","",Mandays*SUMPRODUCT((Allocations!$B$3:$B$200=$A36)*(Allocations!$N$3:$N$200)*(Allocations!$T$3:$T$200)))</f>
        <v/>
      </c>
      <c r="I36" s="24">
        <f>IF($A36="","",Mandays*SUMPRODUCT((Allocations!$B$3:$B$200=$A36)*(Allocations!$O$3:$O$200)*(Allocations!$T$3:$T$200)))</f>
        <v/>
      </c>
      <c r="J36" s="24">
        <f>IF($A36="","",Mandays*SUMPRODUCT((Allocations!$B$3:$B$200=$A36)*(Allocations!$P$3:$P$200)*(Allocations!$T$3:$T$200)))</f>
        <v/>
      </c>
      <c r="K36" s="24">
        <f>IF($A36="","",Mandays*SUMPRODUCT((Allocations!$B$3:$B$200=$A36)*(Allocations!$Q$3:$Q$200)*(Allocations!$T$3:$T$200)))</f>
        <v/>
      </c>
      <c r="L36" s="24">
        <f>IF($A36="","",Mandays*SUMPRODUCT((Allocations!$B$3:$B$200=$A36)*(Allocations!$R$3:$R$200)*(Allocations!$T$3:$T$200)))</f>
        <v/>
      </c>
      <c r="M36" s="24">
        <f>IF($A36="","",Mandays*SUMPRODUCT((Allocations!$B$3:$B$200=$A36)*(Allocations!$S$3:$S$200)*(Allocations!$T$3:$T$200)))</f>
        <v/>
      </c>
      <c r="N36" s="24">
        <f>IF($A36="","",SUM(B36:M36))</f>
        <v/>
      </c>
    </row>
    <row r="37">
      <c r="A37" s="23">
        <f>IF(Projects!A11="","",Projects!A11)</f>
        <v/>
      </c>
      <c r="B37" s="24">
        <f>IF($A37="","",Mandays*SUMPRODUCT((Allocations!$B$3:$B$200=$A37)*(Allocations!$H$3:$H$200)*(Allocations!$T$3:$T$200)))</f>
        <v/>
      </c>
      <c r="C37" s="24">
        <f>IF($A37="","",Mandays*SUMPRODUCT((Allocations!$B$3:$B$200=$A37)*(Allocations!$I$3:$I$200)*(Allocations!$T$3:$T$200)))</f>
        <v/>
      </c>
      <c r="D37" s="24">
        <f>IF($A37="","",Mandays*SUMPRODUCT((Allocations!$B$3:$B$200=$A37)*(Allocations!$J$3:$J$200)*(Allocations!$T$3:$T$200)))</f>
        <v/>
      </c>
      <c r="E37" s="24">
        <f>IF($A37="","",Mandays*SUMPRODUCT((Allocations!$B$3:$B$200=$A37)*(Allocations!$K$3:$K$200)*(Allocations!$T$3:$T$200)))</f>
        <v/>
      </c>
      <c r="F37" s="24">
        <f>IF($A37="","",Mandays*SUMPRODUCT((Allocations!$B$3:$B$200=$A37)*(Allocations!$L$3:$L$200)*(Allocations!$T$3:$T$200)))</f>
        <v/>
      </c>
      <c r="G37" s="24">
        <f>IF($A37="","",Mandays*SUMPRODUCT((Allocations!$B$3:$B$200=$A37)*(Allocations!$M$3:$M$200)*(Allocations!$T$3:$T$200)))</f>
        <v/>
      </c>
      <c r="H37" s="24">
        <f>IF($A37="","",Mandays*SUMPRODUCT((Allocations!$B$3:$B$200=$A37)*(Allocations!$N$3:$N$200)*(Allocations!$T$3:$T$200)))</f>
        <v/>
      </c>
      <c r="I37" s="24">
        <f>IF($A37="","",Mandays*SUMPRODUCT((Allocations!$B$3:$B$200=$A37)*(Allocations!$O$3:$O$200)*(Allocations!$T$3:$T$200)))</f>
        <v/>
      </c>
      <c r="J37" s="24">
        <f>IF($A37="","",Mandays*SUMPRODUCT((Allocations!$B$3:$B$200=$A37)*(Allocations!$P$3:$P$200)*(Allocations!$T$3:$T$200)))</f>
        <v/>
      </c>
      <c r="K37" s="24">
        <f>IF($A37="","",Mandays*SUMPRODUCT((Allocations!$B$3:$B$200=$A37)*(Allocations!$Q$3:$Q$200)*(Allocations!$T$3:$T$200)))</f>
        <v/>
      </c>
      <c r="L37" s="24">
        <f>IF($A37="","",Mandays*SUMPRODUCT((Allocations!$B$3:$B$200=$A37)*(Allocations!$R$3:$R$200)*(Allocations!$T$3:$T$200)))</f>
        <v/>
      </c>
      <c r="M37" s="24">
        <f>IF($A37="","",Mandays*SUMPRODUCT((Allocations!$B$3:$B$200=$A37)*(Allocations!$S$3:$S$200)*(Allocations!$T$3:$T$200)))</f>
        <v/>
      </c>
      <c r="N37" s="24">
        <f>IF($A37="","",SUM(B37:M37))</f>
        <v/>
      </c>
    </row>
    <row r="38">
      <c r="A38" s="23">
        <f>IF(Projects!A12="","",Projects!A12)</f>
        <v/>
      </c>
      <c r="B38" s="24">
        <f>IF($A38="","",Mandays*SUMPRODUCT((Allocations!$B$3:$B$200=$A38)*(Allocations!$H$3:$H$200)*(Allocations!$T$3:$T$200)))</f>
        <v/>
      </c>
      <c r="C38" s="24">
        <f>IF($A38="","",Mandays*SUMPRODUCT((Allocations!$B$3:$B$200=$A38)*(Allocations!$I$3:$I$200)*(Allocations!$T$3:$T$200)))</f>
        <v/>
      </c>
      <c r="D38" s="24">
        <f>IF($A38="","",Mandays*SUMPRODUCT((Allocations!$B$3:$B$200=$A38)*(Allocations!$J$3:$J$200)*(Allocations!$T$3:$T$200)))</f>
        <v/>
      </c>
      <c r="E38" s="24">
        <f>IF($A38="","",Mandays*SUMPRODUCT((Allocations!$B$3:$B$200=$A38)*(Allocations!$K$3:$K$200)*(Allocations!$T$3:$T$200)))</f>
        <v/>
      </c>
      <c r="F38" s="24">
        <f>IF($A38="","",Mandays*SUMPRODUCT((Allocations!$B$3:$B$200=$A38)*(Allocations!$L$3:$L$200)*(Allocations!$T$3:$T$200)))</f>
        <v/>
      </c>
      <c r="G38" s="24">
        <f>IF($A38="","",Mandays*SUMPRODUCT((Allocations!$B$3:$B$200=$A38)*(Allocations!$M$3:$M$200)*(Allocations!$T$3:$T$200)))</f>
        <v/>
      </c>
      <c r="H38" s="24">
        <f>IF($A38="","",Mandays*SUMPRODUCT((Allocations!$B$3:$B$200=$A38)*(Allocations!$N$3:$N$200)*(Allocations!$T$3:$T$200)))</f>
        <v/>
      </c>
      <c r="I38" s="24">
        <f>IF($A38="","",Mandays*SUMPRODUCT((Allocations!$B$3:$B$200=$A38)*(Allocations!$O$3:$O$200)*(Allocations!$T$3:$T$200)))</f>
        <v/>
      </c>
      <c r="J38" s="24">
        <f>IF($A38="","",Mandays*SUMPRODUCT((Allocations!$B$3:$B$200=$A38)*(Allocations!$P$3:$P$200)*(Allocations!$T$3:$T$200)))</f>
        <v/>
      </c>
      <c r="K38" s="24">
        <f>IF($A38="","",Mandays*SUMPRODUCT((Allocations!$B$3:$B$200=$A38)*(Allocations!$Q$3:$Q$200)*(Allocations!$T$3:$T$200)))</f>
        <v/>
      </c>
      <c r="L38" s="24">
        <f>IF($A38="","",Mandays*SUMPRODUCT((Allocations!$B$3:$B$200=$A38)*(Allocations!$R$3:$R$200)*(Allocations!$T$3:$T$200)))</f>
        <v/>
      </c>
      <c r="M38" s="24">
        <f>IF($A38="","",Mandays*SUMPRODUCT((Allocations!$B$3:$B$200=$A38)*(Allocations!$S$3:$S$200)*(Allocations!$T$3:$T$200)))</f>
        <v/>
      </c>
      <c r="N38" s="24">
        <f>IF($A38="","",SUM(B38:M38))</f>
        <v/>
      </c>
    </row>
    <row r="39">
      <c r="A39" s="23">
        <f>IF(Projects!A13="","",Projects!A13)</f>
        <v/>
      </c>
      <c r="B39" s="24">
        <f>IF($A39="","",Mandays*SUMPRODUCT((Allocations!$B$3:$B$200=$A39)*(Allocations!$H$3:$H$200)*(Allocations!$T$3:$T$200)))</f>
        <v/>
      </c>
      <c r="C39" s="24">
        <f>IF($A39="","",Mandays*SUMPRODUCT((Allocations!$B$3:$B$200=$A39)*(Allocations!$I$3:$I$200)*(Allocations!$T$3:$T$200)))</f>
        <v/>
      </c>
      <c r="D39" s="24">
        <f>IF($A39="","",Mandays*SUMPRODUCT((Allocations!$B$3:$B$200=$A39)*(Allocations!$J$3:$J$200)*(Allocations!$T$3:$T$200)))</f>
        <v/>
      </c>
      <c r="E39" s="24">
        <f>IF($A39="","",Mandays*SUMPRODUCT((Allocations!$B$3:$B$200=$A39)*(Allocations!$K$3:$K$200)*(Allocations!$T$3:$T$200)))</f>
        <v/>
      </c>
      <c r="F39" s="24">
        <f>IF($A39="","",Mandays*SUMPRODUCT((Allocations!$B$3:$B$200=$A39)*(Allocations!$L$3:$L$200)*(Allocations!$T$3:$T$200)))</f>
        <v/>
      </c>
      <c r="G39" s="24">
        <f>IF($A39="","",Mandays*SUMPRODUCT((Allocations!$B$3:$B$200=$A39)*(Allocations!$M$3:$M$200)*(Allocations!$T$3:$T$200)))</f>
        <v/>
      </c>
      <c r="H39" s="24">
        <f>IF($A39="","",Mandays*SUMPRODUCT((Allocations!$B$3:$B$200=$A39)*(Allocations!$N$3:$N$200)*(Allocations!$T$3:$T$200)))</f>
        <v/>
      </c>
      <c r="I39" s="24">
        <f>IF($A39="","",Mandays*SUMPRODUCT((Allocations!$B$3:$B$200=$A39)*(Allocations!$O$3:$O$200)*(Allocations!$T$3:$T$200)))</f>
        <v/>
      </c>
      <c r="J39" s="24">
        <f>IF($A39="","",Mandays*SUMPRODUCT((Allocations!$B$3:$B$200=$A39)*(Allocations!$P$3:$P$200)*(Allocations!$T$3:$T$200)))</f>
        <v/>
      </c>
      <c r="K39" s="24">
        <f>IF($A39="","",Mandays*SUMPRODUCT((Allocations!$B$3:$B$200=$A39)*(Allocations!$Q$3:$Q$200)*(Allocations!$T$3:$T$200)))</f>
        <v/>
      </c>
      <c r="L39" s="24">
        <f>IF($A39="","",Mandays*SUMPRODUCT((Allocations!$B$3:$B$200=$A39)*(Allocations!$R$3:$R$200)*(Allocations!$T$3:$T$200)))</f>
        <v/>
      </c>
      <c r="M39" s="24">
        <f>IF($A39="","",Mandays*SUMPRODUCT((Allocations!$B$3:$B$200=$A39)*(Allocations!$S$3:$S$200)*(Allocations!$T$3:$T$200)))</f>
        <v/>
      </c>
      <c r="N39" s="24">
        <f>IF($A39="","",SUM(B39:M39))</f>
        <v/>
      </c>
    </row>
    <row r="40">
      <c r="A40" s="23">
        <f>IF(Projects!A14="","",Projects!A14)</f>
        <v/>
      </c>
      <c r="B40" s="24">
        <f>IF($A40="","",Mandays*SUMPRODUCT((Allocations!$B$3:$B$200=$A40)*(Allocations!$H$3:$H$200)*(Allocations!$T$3:$T$200)))</f>
        <v/>
      </c>
      <c r="C40" s="24">
        <f>IF($A40="","",Mandays*SUMPRODUCT((Allocations!$B$3:$B$200=$A40)*(Allocations!$I$3:$I$200)*(Allocations!$T$3:$T$200)))</f>
        <v/>
      </c>
      <c r="D40" s="24">
        <f>IF($A40="","",Mandays*SUMPRODUCT((Allocations!$B$3:$B$200=$A40)*(Allocations!$J$3:$J$200)*(Allocations!$T$3:$T$200)))</f>
        <v/>
      </c>
      <c r="E40" s="24">
        <f>IF($A40="","",Mandays*SUMPRODUCT((Allocations!$B$3:$B$200=$A40)*(Allocations!$K$3:$K$200)*(Allocations!$T$3:$T$200)))</f>
        <v/>
      </c>
      <c r="F40" s="24">
        <f>IF($A40="","",Mandays*SUMPRODUCT((Allocations!$B$3:$B$200=$A40)*(Allocations!$L$3:$L$200)*(Allocations!$T$3:$T$200)))</f>
        <v/>
      </c>
      <c r="G40" s="24">
        <f>IF($A40="","",Mandays*SUMPRODUCT((Allocations!$B$3:$B$200=$A40)*(Allocations!$M$3:$M$200)*(Allocations!$T$3:$T$200)))</f>
        <v/>
      </c>
      <c r="H40" s="24">
        <f>IF($A40="","",Mandays*SUMPRODUCT((Allocations!$B$3:$B$200=$A40)*(Allocations!$N$3:$N$200)*(Allocations!$T$3:$T$200)))</f>
        <v/>
      </c>
      <c r="I40" s="24">
        <f>IF($A40="","",Mandays*SUMPRODUCT((Allocations!$B$3:$B$200=$A40)*(Allocations!$O$3:$O$200)*(Allocations!$T$3:$T$200)))</f>
        <v/>
      </c>
      <c r="J40" s="24">
        <f>IF($A40="","",Mandays*SUMPRODUCT((Allocations!$B$3:$B$200=$A40)*(Allocations!$P$3:$P$200)*(Allocations!$T$3:$T$200)))</f>
        <v/>
      </c>
      <c r="K40" s="24">
        <f>IF($A40="","",Mandays*SUMPRODUCT((Allocations!$B$3:$B$200=$A40)*(Allocations!$Q$3:$Q$200)*(Allocations!$T$3:$T$200)))</f>
        <v/>
      </c>
      <c r="L40" s="24">
        <f>IF($A40="","",Mandays*SUMPRODUCT((Allocations!$B$3:$B$200=$A40)*(Allocations!$R$3:$R$200)*(Allocations!$T$3:$T$200)))</f>
        <v/>
      </c>
      <c r="M40" s="24">
        <f>IF($A40="","",Mandays*SUMPRODUCT((Allocations!$B$3:$B$200=$A40)*(Allocations!$S$3:$S$200)*(Allocations!$T$3:$T$200)))</f>
        <v/>
      </c>
      <c r="N40" s="24">
        <f>IF($A40="","",SUM(B40:M40))</f>
        <v/>
      </c>
    </row>
    <row r="41">
      <c r="A41" s="23">
        <f>IF(Projects!A15="","",Projects!A15)</f>
        <v/>
      </c>
      <c r="B41" s="24">
        <f>IF($A41="","",Mandays*SUMPRODUCT((Allocations!$B$3:$B$200=$A41)*(Allocations!$H$3:$H$200)*(Allocations!$T$3:$T$200)))</f>
        <v/>
      </c>
      <c r="C41" s="24">
        <f>IF($A41="","",Mandays*SUMPRODUCT((Allocations!$B$3:$B$200=$A41)*(Allocations!$I$3:$I$200)*(Allocations!$T$3:$T$200)))</f>
        <v/>
      </c>
      <c r="D41" s="24">
        <f>IF($A41="","",Mandays*SUMPRODUCT((Allocations!$B$3:$B$200=$A41)*(Allocations!$J$3:$J$200)*(Allocations!$T$3:$T$200)))</f>
        <v/>
      </c>
      <c r="E41" s="24">
        <f>IF($A41="","",Mandays*SUMPRODUCT((Allocations!$B$3:$B$200=$A41)*(Allocations!$K$3:$K$200)*(Allocations!$T$3:$T$200)))</f>
        <v/>
      </c>
      <c r="F41" s="24">
        <f>IF($A41="","",Mandays*SUMPRODUCT((Allocations!$B$3:$B$200=$A41)*(Allocations!$L$3:$L$200)*(Allocations!$T$3:$T$200)))</f>
        <v/>
      </c>
      <c r="G41" s="24">
        <f>IF($A41="","",Mandays*SUMPRODUCT((Allocations!$B$3:$B$200=$A41)*(Allocations!$M$3:$M$200)*(Allocations!$T$3:$T$200)))</f>
        <v/>
      </c>
      <c r="H41" s="24">
        <f>IF($A41="","",Mandays*SUMPRODUCT((Allocations!$B$3:$B$200=$A41)*(Allocations!$N$3:$N$200)*(Allocations!$T$3:$T$200)))</f>
        <v/>
      </c>
      <c r="I41" s="24">
        <f>IF($A41="","",Mandays*SUMPRODUCT((Allocations!$B$3:$B$200=$A41)*(Allocations!$O$3:$O$200)*(Allocations!$T$3:$T$200)))</f>
        <v/>
      </c>
      <c r="J41" s="24">
        <f>IF($A41="","",Mandays*SUMPRODUCT((Allocations!$B$3:$B$200=$A41)*(Allocations!$P$3:$P$200)*(Allocations!$T$3:$T$200)))</f>
        <v/>
      </c>
      <c r="K41" s="24">
        <f>IF($A41="","",Mandays*SUMPRODUCT((Allocations!$B$3:$B$200=$A41)*(Allocations!$Q$3:$Q$200)*(Allocations!$T$3:$T$200)))</f>
        <v/>
      </c>
      <c r="L41" s="24">
        <f>IF($A41="","",Mandays*SUMPRODUCT((Allocations!$B$3:$B$200=$A41)*(Allocations!$R$3:$R$200)*(Allocations!$T$3:$T$200)))</f>
        <v/>
      </c>
      <c r="M41" s="24">
        <f>IF($A41="","",Mandays*SUMPRODUCT((Allocations!$B$3:$B$200=$A41)*(Allocations!$S$3:$S$200)*(Allocations!$T$3:$T$200)))</f>
        <v/>
      </c>
      <c r="N41" s="24">
        <f>IF($A41="","",SUM(B41:M41))</f>
        <v/>
      </c>
    </row>
    <row r="42">
      <c r="A42" s="27">
        <f>IF(Projects!A16="","",Projects!A16)</f>
        <v/>
      </c>
      <c r="B42" s="24">
        <f>IF($A42="","",Mandays*SUMPRODUCT((Allocations!$B$3:$B$200=$A42)*(Allocations!$H$3:$H$200)*(Allocations!$T$3:$T$200)))</f>
        <v/>
      </c>
      <c r="C42" s="24">
        <f>IF($A42="","",Mandays*SUMPRODUCT((Allocations!$B$3:$B$200=$A42)*(Allocations!$I$3:$I$200)*(Allocations!$T$3:$T$200)))</f>
        <v/>
      </c>
      <c r="D42" s="24">
        <f>IF($A42="","",Mandays*SUMPRODUCT((Allocations!$B$3:$B$200=$A42)*(Allocations!$J$3:$J$200)*(Allocations!$T$3:$T$200)))</f>
        <v/>
      </c>
      <c r="E42" s="24">
        <f>IF($A42="","",Mandays*SUMPRODUCT((Allocations!$B$3:$B$200=$A42)*(Allocations!$K$3:$K$200)*(Allocations!$T$3:$T$200)))</f>
        <v/>
      </c>
      <c r="F42" s="24">
        <f>IF($A42="","",Mandays*SUMPRODUCT((Allocations!$B$3:$B$200=$A42)*(Allocations!$L$3:$L$200)*(Allocations!$T$3:$T$200)))</f>
        <v/>
      </c>
      <c r="G42" s="24">
        <f>IF($A42="","",Mandays*SUMPRODUCT((Allocations!$B$3:$B$200=$A42)*(Allocations!$M$3:$M$200)*(Allocations!$T$3:$T$200)))</f>
        <v/>
      </c>
      <c r="H42" s="24">
        <f>IF($A42="","",Mandays*SUMPRODUCT((Allocations!$B$3:$B$200=$A42)*(Allocations!$N$3:$N$200)*(Allocations!$T$3:$T$200)))</f>
        <v/>
      </c>
      <c r="I42" s="24">
        <f>IF($A42="","",Mandays*SUMPRODUCT((Allocations!$B$3:$B$200=$A42)*(Allocations!$O$3:$O$200)*(Allocations!$T$3:$T$200)))</f>
        <v/>
      </c>
      <c r="J42" s="24">
        <f>IF($A42="","",Mandays*SUMPRODUCT((Allocations!$B$3:$B$200=$A42)*(Allocations!$P$3:$P$200)*(Allocations!$T$3:$T$200)))</f>
        <v/>
      </c>
      <c r="K42" s="24">
        <f>IF($A42="","",Mandays*SUMPRODUCT((Allocations!$B$3:$B$200=$A42)*(Allocations!$Q$3:$Q$200)*(Allocations!$T$3:$T$200)))</f>
        <v/>
      </c>
      <c r="L42" s="24">
        <f>IF($A42="","",Mandays*SUMPRODUCT((Allocations!$B$3:$B$200=$A42)*(Allocations!$R$3:$R$200)*(Allocations!$T$3:$T$200)))</f>
        <v/>
      </c>
      <c r="M42" s="24">
        <f>IF($A42="","",Mandays*SUMPRODUCT((Allocations!$B$3:$B$200=$A42)*(Allocations!$S$3:$S$200)*(Allocations!$T$3:$T$200)))</f>
        <v/>
      </c>
      <c r="N42" s="24">
        <f>IF($A42="","",SUM(B42:M42))</f>
        <v/>
      </c>
    </row>
    <row r="43">
      <c r="A43" s="23">
        <f>IF(Projects!A17="","",Projects!A17)</f>
        <v/>
      </c>
      <c r="B43" s="24">
        <f>IF($A43="","",Mandays*SUMPRODUCT((Allocations!$B$3:$B$200=$A43)*(Allocations!$H$3:$H$200)*(Allocations!$T$3:$T$200)))</f>
        <v/>
      </c>
      <c r="C43" s="24">
        <f>IF($A43="","",Mandays*SUMPRODUCT((Allocations!$B$3:$B$200=$A43)*(Allocations!$I$3:$I$200)*(Allocations!$T$3:$T$200)))</f>
        <v/>
      </c>
      <c r="D43" s="24">
        <f>IF($A43="","",Mandays*SUMPRODUCT((Allocations!$B$3:$B$200=$A43)*(Allocations!$J$3:$J$200)*(Allocations!$T$3:$T$200)))</f>
        <v/>
      </c>
      <c r="E43" s="24">
        <f>IF($A43="","",Mandays*SUMPRODUCT((Allocations!$B$3:$B$200=$A43)*(Allocations!$K$3:$K$200)*(Allocations!$T$3:$T$200)))</f>
        <v/>
      </c>
      <c r="F43" s="24">
        <f>IF($A43="","",Mandays*SUMPRODUCT((Allocations!$B$3:$B$200=$A43)*(Allocations!$L$3:$L$200)*(Allocations!$T$3:$T$200)))</f>
        <v/>
      </c>
      <c r="G43" s="24">
        <f>IF($A43="","",Mandays*SUMPRODUCT((Allocations!$B$3:$B$200=$A43)*(Allocations!$M$3:$M$200)*(Allocations!$T$3:$T$200)))</f>
        <v/>
      </c>
      <c r="H43" s="24">
        <f>IF($A43="","",Mandays*SUMPRODUCT((Allocations!$B$3:$B$200=$A43)*(Allocations!$N$3:$N$200)*(Allocations!$T$3:$T$200)))</f>
        <v/>
      </c>
      <c r="I43" s="24">
        <f>IF($A43="","",Mandays*SUMPRODUCT((Allocations!$B$3:$B$200=$A43)*(Allocations!$O$3:$O$200)*(Allocations!$T$3:$T$200)))</f>
        <v/>
      </c>
      <c r="J43" s="24">
        <f>IF($A43="","",Mandays*SUMPRODUCT((Allocations!$B$3:$B$200=$A43)*(Allocations!$P$3:$P$200)*(Allocations!$T$3:$T$200)))</f>
        <v/>
      </c>
      <c r="K43" s="24">
        <f>IF($A43="","",Mandays*SUMPRODUCT((Allocations!$B$3:$B$200=$A43)*(Allocations!$Q$3:$Q$200)*(Allocations!$T$3:$T$200)))</f>
        <v/>
      </c>
      <c r="L43" s="24">
        <f>IF($A43="","",Mandays*SUMPRODUCT((Allocations!$B$3:$B$200=$A43)*(Allocations!$R$3:$R$200)*(Allocations!$T$3:$T$200)))</f>
        <v/>
      </c>
      <c r="M43" s="24">
        <f>IF($A43="","",Mandays*SUMPRODUCT((Allocations!$B$3:$B$200=$A43)*(Allocations!$S$3:$S$200)*(Allocations!$T$3:$T$200)))</f>
        <v/>
      </c>
      <c r="N43" s="24">
        <f>IF($A43="","",SUM(B43:M43))</f>
        <v/>
      </c>
    </row>
    <row r="44">
      <c r="A44" s="23">
        <f>IF(Projects!A18="","",Projects!A18)</f>
        <v/>
      </c>
      <c r="B44" s="24">
        <f>IF($A44="","",Mandays*SUMPRODUCT((Allocations!$B$3:$B$200=$A44)*(Allocations!$H$3:$H$200)*(Allocations!$T$3:$T$200)))</f>
        <v/>
      </c>
      <c r="C44" s="24">
        <f>IF($A44="","",Mandays*SUMPRODUCT((Allocations!$B$3:$B$200=$A44)*(Allocations!$I$3:$I$200)*(Allocations!$T$3:$T$200)))</f>
        <v/>
      </c>
      <c r="D44" s="24">
        <f>IF($A44="","",Mandays*SUMPRODUCT((Allocations!$B$3:$B$200=$A44)*(Allocations!$J$3:$J$200)*(Allocations!$T$3:$T$200)))</f>
        <v/>
      </c>
      <c r="E44" s="24">
        <f>IF($A44="","",Mandays*SUMPRODUCT((Allocations!$B$3:$B$200=$A44)*(Allocations!$K$3:$K$200)*(Allocations!$T$3:$T$200)))</f>
        <v/>
      </c>
      <c r="F44" s="24">
        <f>IF($A44="","",Mandays*SUMPRODUCT((Allocations!$B$3:$B$200=$A44)*(Allocations!$L$3:$L$200)*(Allocations!$T$3:$T$200)))</f>
        <v/>
      </c>
      <c r="G44" s="24">
        <f>IF($A44="","",Mandays*SUMPRODUCT((Allocations!$B$3:$B$200=$A44)*(Allocations!$M$3:$M$200)*(Allocations!$T$3:$T$200)))</f>
        <v/>
      </c>
      <c r="H44" s="24">
        <f>IF($A44="","",Mandays*SUMPRODUCT((Allocations!$B$3:$B$200=$A44)*(Allocations!$N$3:$N$200)*(Allocations!$T$3:$T$200)))</f>
        <v/>
      </c>
      <c r="I44" s="24">
        <f>IF($A44="","",Mandays*SUMPRODUCT((Allocations!$B$3:$B$200=$A44)*(Allocations!$O$3:$O$200)*(Allocations!$T$3:$T$200)))</f>
        <v/>
      </c>
      <c r="J44" s="24">
        <f>IF($A44="","",Mandays*SUMPRODUCT((Allocations!$B$3:$B$200=$A44)*(Allocations!$P$3:$P$200)*(Allocations!$T$3:$T$200)))</f>
        <v/>
      </c>
      <c r="K44" s="24">
        <f>IF($A44="","",Mandays*SUMPRODUCT((Allocations!$B$3:$B$200=$A44)*(Allocations!$Q$3:$Q$200)*(Allocations!$T$3:$T$200)))</f>
        <v/>
      </c>
      <c r="L44" s="24">
        <f>IF($A44="","",Mandays*SUMPRODUCT((Allocations!$B$3:$B$200=$A44)*(Allocations!$R$3:$R$200)*(Allocations!$T$3:$T$200)))</f>
        <v/>
      </c>
      <c r="M44" s="24">
        <f>IF($A44="","",Mandays*SUMPRODUCT((Allocations!$B$3:$B$200=$A44)*(Allocations!$S$3:$S$200)*(Allocations!$T$3:$T$200)))</f>
        <v/>
      </c>
      <c r="N44" s="24">
        <f>IF($A44="","",SUM(B44:M44))</f>
        <v/>
      </c>
    </row>
    <row r="45">
      <c r="A45" s="23">
        <f>IF(Projects!A19="","",Projects!A19)</f>
        <v/>
      </c>
      <c r="B45" s="24">
        <f>IF($A45="","",Mandays*SUMPRODUCT((Allocations!$B$3:$B$200=$A45)*(Allocations!$H$3:$H$200)*(Allocations!$T$3:$T$200)))</f>
        <v/>
      </c>
      <c r="C45" s="24">
        <f>IF($A45="","",Mandays*SUMPRODUCT((Allocations!$B$3:$B$200=$A45)*(Allocations!$I$3:$I$200)*(Allocations!$T$3:$T$200)))</f>
        <v/>
      </c>
      <c r="D45" s="24">
        <f>IF($A45="","",Mandays*SUMPRODUCT((Allocations!$B$3:$B$200=$A45)*(Allocations!$J$3:$J$200)*(Allocations!$T$3:$T$200)))</f>
        <v/>
      </c>
      <c r="E45" s="24">
        <f>IF($A45="","",Mandays*SUMPRODUCT((Allocations!$B$3:$B$200=$A45)*(Allocations!$K$3:$K$200)*(Allocations!$T$3:$T$200)))</f>
        <v/>
      </c>
      <c r="F45" s="24">
        <f>IF($A45="","",Mandays*SUMPRODUCT((Allocations!$B$3:$B$200=$A45)*(Allocations!$L$3:$L$200)*(Allocations!$T$3:$T$200)))</f>
        <v/>
      </c>
      <c r="G45" s="24">
        <f>IF($A45="","",Mandays*SUMPRODUCT((Allocations!$B$3:$B$200=$A45)*(Allocations!$M$3:$M$200)*(Allocations!$T$3:$T$200)))</f>
        <v/>
      </c>
      <c r="H45" s="24">
        <f>IF($A45="","",Mandays*SUMPRODUCT((Allocations!$B$3:$B$200=$A45)*(Allocations!$N$3:$N$200)*(Allocations!$T$3:$T$200)))</f>
        <v/>
      </c>
      <c r="I45" s="24">
        <f>IF($A45="","",Mandays*SUMPRODUCT((Allocations!$B$3:$B$200=$A45)*(Allocations!$O$3:$O$200)*(Allocations!$T$3:$T$200)))</f>
        <v/>
      </c>
      <c r="J45" s="24">
        <f>IF($A45="","",Mandays*SUMPRODUCT((Allocations!$B$3:$B$200=$A45)*(Allocations!$P$3:$P$200)*(Allocations!$T$3:$T$200)))</f>
        <v/>
      </c>
      <c r="K45" s="24">
        <f>IF($A45="","",Mandays*SUMPRODUCT((Allocations!$B$3:$B$200=$A45)*(Allocations!$Q$3:$Q$200)*(Allocations!$T$3:$T$200)))</f>
        <v/>
      </c>
      <c r="L45" s="24">
        <f>IF($A45="","",Mandays*SUMPRODUCT((Allocations!$B$3:$B$200=$A45)*(Allocations!$R$3:$R$200)*(Allocations!$T$3:$T$200)))</f>
        <v/>
      </c>
      <c r="M45" s="24">
        <f>IF($A45="","",Mandays*SUMPRODUCT((Allocations!$B$3:$B$200=$A45)*(Allocations!$S$3:$S$200)*(Allocations!$T$3:$T$200)))</f>
        <v/>
      </c>
      <c r="N45" s="24">
        <f>IF($A45="","",SUM(B45:M45))</f>
        <v/>
      </c>
    </row>
    <row r="46">
      <c r="A46" s="23">
        <f>IF(Projects!A20="","",Projects!A20)</f>
        <v/>
      </c>
      <c r="B46" s="24">
        <f>IF($A46="","",Mandays*SUMPRODUCT((Allocations!$B$3:$B$200=$A46)*(Allocations!$H$3:$H$200)*(Allocations!$T$3:$T$200)))</f>
        <v/>
      </c>
      <c r="C46" s="24">
        <f>IF($A46="","",Mandays*SUMPRODUCT((Allocations!$B$3:$B$200=$A46)*(Allocations!$I$3:$I$200)*(Allocations!$T$3:$T$200)))</f>
        <v/>
      </c>
      <c r="D46" s="24">
        <f>IF($A46="","",Mandays*SUMPRODUCT((Allocations!$B$3:$B$200=$A46)*(Allocations!$J$3:$J$200)*(Allocations!$T$3:$T$200)))</f>
        <v/>
      </c>
      <c r="E46" s="24">
        <f>IF($A46="","",Mandays*SUMPRODUCT((Allocations!$B$3:$B$200=$A46)*(Allocations!$K$3:$K$200)*(Allocations!$T$3:$T$200)))</f>
        <v/>
      </c>
      <c r="F46" s="24">
        <f>IF($A46="","",Mandays*SUMPRODUCT((Allocations!$B$3:$B$200=$A46)*(Allocations!$L$3:$L$200)*(Allocations!$T$3:$T$200)))</f>
        <v/>
      </c>
      <c r="G46" s="24">
        <f>IF($A46="","",Mandays*SUMPRODUCT((Allocations!$B$3:$B$200=$A46)*(Allocations!$M$3:$M$200)*(Allocations!$T$3:$T$200)))</f>
        <v/>
      </c>
      <c r="H46" s="24">
        <f>IF($A46="","",Mandays*SUMPRODUCT((Allocations!$B$3:$B$200=$A46)*(Allocations!$N$3:$N$200)*(Allocations!$T$3:$T$200)))</f>
        <v/>
      </c>
      <c r="I46" s="24">
        <f>IF($A46="","",Mandays*SUMPRODUCT((Allocations!$B$3:$B$200=$A46)*(Allocations!$O$3:$O$200)*(Allocations!$T$3:$T$200)))</f>
        <v/>
      </c>
      <c r="J46" s="24">
        <f>IF($A46="","",Mandays*SUMPRODUCT((Allocations!$B$3:$B$200=$A46)*(Allocations!$P$3:$P$200)*(Allocations!$T$3:$T$200)))</f>
        <v/>
      </c>
      <c r="K46" s="24">
        <f>IF($A46="","",Mandays*SUMPRODUCT((Allocations!$B$3:$B$200=$A46)*(Allocations!$Q$3:$Q$200)*(Allocations!$T$3:$T$200)))</f>
        <v/>
      </c>
      <c r="L46" s="24">
        <f>IF($A46="","",Mandays*SUMPRODUCT((Allocations!$B$3:$B$200=$A46)*(Allocations!$R$3:$R$200)*(Allocations!$T$3:$T$200)))</f>
        <v/>
      </c>
      <c r="M46" s="24">
        <f>IF($A46="","",Mandays*SUMPRODUCT((Allocations!$B$3:$B$200=$A46)*(Allocations!$S$3:$S$200)*(Allocations!$T$3:$T$200)))</f>
        <v/>
      </c>
      <c r="N46" s="24">
        <f>IF($A46="","",SUM(B46:M46))</f>
        <v/>
      </c>
    </row>
    <row r="47">
      <c r="A47" s="23">
        <f>IF(Projects!A21="","",Projects!A21)</f>
        <v/>
      </c>
      <c r="B47" s="24">
        <f>IF($A47="","",Mandays*SUMPRODUCT((Allocations!$B$3:$B$200=$A47)*(Allocations!$H$3:$H$200)*(Allocations!$T$3:$T$200)))</f>
        <v/>
      </c>
      <c r="C47" s="24">
        <f>IF($A47="","",Mandays*SUMPRODUCT((Allocations!$B$3:$B$200=$A47)*(Allocations!$I$3:$I$200)*(Allocations!$T$3:$T$200)))</f>
        <v/>
      </c>
      <c r="D47" s="24">
        <f>IF($A47="","",Mandays*SUMPRODUCT((Allocations!$B$3:$B$200=$A47)*(Allocations!$J$3:$J$200)*(Allocations!$T$3:$T$200)))</f>
        <v/>
      </c>
      <c r="E47" s="24">
        <f>IF($A47="","",Mandays*SUMPRODUCT((Allocations!$B$3:$B$200=$A47)*(Allocations!$K$3:$K$200)*(Allocations!$T$3:$T$200)))</f>
        <v/>
      </c>
      <c r="F47" s="24">
        <f>IF($A47="","",Mandays*SUMPRODUCT((Allocations!$B$3:$B$200=$A47)*(Allocations!$L$3:$L$200)*(Allocations!$T$3:$T$200)))</f>
        <v/>
      </c>
      <c r="G47" s="24">
        <f>IF($A47="","",Mandays*SUMPRODUCT((Allocations!$B$3:$B$200=$A47)*(Allocations!$M$3:$M$200)*(Allocations!$T$3:$T$200)))</f>
        <v/>
      </c>
      <c r="H47" s="24">
        <f>IF($A47="","",Mandays*SUMPRODUCT((Allocations!$B$3:$B$200=$A47)*(Allocations!$N$3:$N$200)*(Allocations!$T$3:$T$200)))</f>
        <v/>
      </c>
      <c r="I47" s="24">
        <f>IF($A47="","",Mandays*SUMPRODUCT((Allocations!$B$3:$B$200=$A47)*(Allocations!$O$3:$O$200)*(Allocations!$T$3:$T$200)))</f>
        <v/>
      </c>
      <c r="J47" s="24">
        <f>IF($A47="","",Mandays*SUMPRODUCT((Allocations!$B$3:$B$200=$A47)*(Allocations!$P$3:$P$200)*(Allocations!$T$3:$T$200)))</f>
        <v/>
      </c>
      <c r="K47" s="24">
        <f>IF($A47="","",Mandays*SUMPRODUCT((Allocations!$B$3:$B$200=$A47)*(Allocations!$Q$3:$Q$200)*(Allocations!$T$3:$T$200)))</f>
        <v/>
      </c>
      <c r="L47" s="24">
        <f>IF($A47="","",Mandays*SUMPRODUCT((Allocations!$B$3:$B$200=$A47)*(Allocations!$R$3:$R$200)*(Allocations!$T$3:$T$200)))</f>
        <v/>
      </c>
      <c r="M47" s="24">
        <f>IF($A47="","",Mandays*SUMPRODUCT((Allocations!$B$3:$B$200=$A47)*(Allocations!$S$3:$S$200)*(Allocations!$T$3:$T$200)))</f>
        <v/>
      </c>
      <c r="N47" s="24">
        <f>IF($A47="","",SUM(B47:M47))</f>
        <v/>
      </c>
    </row>
    <row r="48">
      <c r="A48" s="23" t="inlineStr">
        <is>
          <t>TOTAL (all projects)</t>
        </is>
      </c>
      <c r="B48" s="24">
        <f>IF($A48="","",Mandays*SUMPRODUCT((Allocations!$B$3:$B$200=$A48)*(Allocations!$H$3:$H$200)*(Allocations!$T$3:$T$200)))</f>
        <v/>
      </c>
      <c r="C48" s="24">
        <f>IF($A48="","",Mandays*SUMPRODUCT((Allocations!$B$3:$B$200=$A48)*(Allocations!$I$3:$I$200)*(Allocations!$T$3:$T$200)))</f>
        <v/>
      </c>
      <c r="D48" s="24">
        <f>IF($A48="","",Mandays*SUMPRODUCT((Allocations!$B$3:$B$200=$A48)*(Allocations!$J$3:$J$200)*(Allocations!$T$3:$T$200)))</f>
        <v/>
      </c>
      <c r="E48" s="24">
        <f>IF($A48="","",Mandays*SUMPRODUCT((Allocations!$B$3:$B$200=$A48)*(Allocations!$K$3:$K$200)*(Allocations!$T$3:$T$200)))</f>
        <v/>
      </c>
      <c r="F48" s="24">
        <f>IF($A48="","",Mandays*SUMPRODUCT((Allocations!$B$3:$B$200=$A48)*(Allocations!$L$3:$L$200)*(Allocations!$T$3:$T$200)))</f>
        <v/>
      </c>
      <c r="G48" s="24">
        <f>IF($A48="","",Mandays*SUMPRODUCT((Allocations!$B$3:$B$200=$A48)*(Allocations!$M$3:$M$200)*(Allocations!$T$3:$T$200)))</f>
        <v/>
      </c>
      <c r="H48" s="24">
        <f>IF($A48="","",Mandays*SUMPRODUCT((Allocations!$B$3:$B$200=$A48)*(Allocations!$N$3:$N$200)*(Allocations!$T$3:$T$200)))</f>
        <v/>
      </c>
      <c r="I48" s="24">
        <f>IF($A48="","",Mandays*SUMPRODUCT((Allocations!$B$3:$B$200=$A48)*(Allocations!$O$3:$O$200)*(Allocations!$T$3:$T$200)))</f>
        <v/>
      </c>
      <c r="J48" s="24">
        <f>IF($A48="","",Mandays*SUMPRODUCT((Allocations!$B$3:$B$200=$A48)*(Allocations!$P$3:$P$200)*(Allocations!$T$3:$T$200)))</f>
        <v/>
      </c>
      <c r="K48" s="24">
        <f>IF($A48="","",Mandays*SUMPRODUCT((Allocations!$B$3:$B$200=$A48)*(Allocations!$Q$3:$Q$200)*(Allocations!$T$3:$T$200)))</f>
        <v/>
      </c>
      <c r="L48" s="24">
        <f>IF($A48="","",Mandays*SUMPRODUCT((Allocations!$B$3:$B$200=$A48)*(Allocations!$R$3:$R$200)*(Allocations!$T$3:$T$200)))</f>
        <v/>
      </c>
      <c r="M48" s="24">
        <f>IF($A48="","",Mandays*SUMPRODUCT((Allocations!$B$3:$B$200=$A48)*(Allocations!$S$3:$S$200)*(Allocations!$T$3:$T$200)))</f>
        <v/>
      </c>
      <c r="N48" s="24">
        <f>IF($A48="","",SUM(B48:M48))</f>
        <v/>
      </c>
    </row>
    <row r="49">
      <c r="A49">
        <f>IF(Projects!A5="","",Projects!A5)</f>
        <v/>
      </c>
      <c r="B49" s="16">
        <f>IF($A49="","",SUMIFS(Allocations!T3:T200,Allocations!$B3:$B200,$A49))</f>
        <v/>
      </c>
      <c r="C49" s="16">
        <f>IF($A49="","",SUMIFS(Allocations!U3:U200,Allocations!$B3:$B200,$A49))</f>
        <v/>
      </c>
      <c r="D49" s="16">
        <f>IF($A49="","",SUMIFS(Allocations!V3:V200,Allocations!$B3:$B200,$A49))</f>
        <v/>
      </c>
      <c r="E49" s="16">
        <f>IF($A49="","",SUMIFS(Allocations!W3:W200,Allocations!$B3:$B200,$A49))</f>
        <v/>
      </c>
      <c r="F49" s="16">
        <f>IF($A49="","",SUMIFS(Allocations!X3:X200,Allocations!$B3:$B200,$A49))</f>
        <v/>
      </c>
      <c r="G49" s="16">
        <f>IF($A49="","",SUMIFS(Allocations!Y3:Y200,Allocations!$B3:$B200,$A49))</f>
        <v/>
      </c>
      <c r="H49" s="16">
        <f>IF($A49="","",SUMIFS(Allocations!Z3:Z200,Allocations!$B3:$B200,$A49))</f>
        <v/>
      </c>
      <c r="I49" s="16">
        <f>IF($A49="","",SUMIFS(Allocations!AA3:AA200,Allocations!$B3:$B200,$A49))</f>
        <v/>
      </c>
      <c r="J49" s="16">
        <f>IF($A49="","",SUMIFS(Allocations!AB3:AB200,Allocations!$B3:$B200,$A49))</f>
        <v/>
      </c>
      <c r="K49" s="16">
        <f>IF($A49="","",SUMIFS(Allocations!AC3:AC200,Allocations!$B3:$B200,$A49))</f>
        <v/>
      </c>
      <c r="L49" s="16">
        <f>IF($A49="","",SUMIFS(Allocations!AD3:AD200,Allocations!$B3:$B200,$A49))</f>
        <v/>
      </c>
      <c r="M49" s="16">
        <f>IF($A49="","",SUMIFS(Allocations!AE3:AE200,Allocations!$B3:$B200,$A49))</f>
        <v/>
      </c>
      <c r="N49" s="16">
        <f>IF($A49='','',SUM(B49:M49))</f>
        <v/>
      </c>
    </row>
    <row r="50">
      <c r="A50">
        <f>IF(Projects!A6="","",Projects!A6)</f>
        <v/>
      </c>
      <c r="B50" s="16">
        <f>IF($A50="","",SUMIFS(Allocations!T3:T200,Allocations!$B3:$B200,$A50))</f>
        <v/>
      </c>
      <c r="C50" s="16">
        <f>IF($A50="","",SUMIFS(Allocations!U3:U200,Allocations!$B3:$B200,$A50))</f>
        <v/>
      </c>
      <c r="D50" s="16">
        <f>IF($A50="","",SUMIFS(Allocations!V3:V200,Allocations!$B3:$B200,$A50))</f>
        <v/>
      </c>
      <c r="E50" s="16">
        <f>IF($A50="","",SUMIFS(Allocations!W3:W200,Allocations!$B3:$B200,$A50))</f>
        <v/>
      </c>
      <c r="F50" s="16">
        <f>IF($A50="","",SUMIFS(Allocations!X3:X200,Allocations!$B3:$B200,$A50))</f>
        <v/>
      </c>
      <c r="G50" s="16">
        <f>IF($A50="","",SUMIFS(Allocations!Y3:Y200,Allocations!$B3:$B200,$A50))</f>
        <v/>
      </c>
      <c r="H50" s="16">
        <f>IF($A50="","",SUMIFS(Allocations!Z3:Z200,Allocations!$B3:$B200,$A50))</f>
        <v/>
      </c>
      <c r="I50" s="16">
        <f>IF($A50="","",SUMIFS(Allocations!AA3:AA200,Allocations!$B3:$B200,$A50))</f>
        <v/>
      </c>
      <c r="J50" s="16">
        <f>IF($A50="","",SUMIFS(Allocations!AB3:AB200,Allocations!$B3:$B200,$A50))</f>
        <v/>
      </c>
      <c r="K50" s="16">
        <f>IF($A50="","",SUMIFS(Allocations!AC3:AC200,Allocations!$B3:$B200,$A50))</f>
        <v/>
      </c>
      <c r="L50" s="16">
        <f>IF($A50="","",SUMIFS(Allocations!AD3:AD200,Allocations!$B3:$B200,$A50))</f>
        <v/>
      </c>
      <c r="M50" s="16">
        <f>IF($A50="","",SUMIFS(Allocations!AE3:AE200,Allocations!$B3:$B200,$A50))</f>
        <v/>
      </c>
      <c r="N50" s="16">
        <f>IF($A50='','',SUM(B50:M50))</f>
        <v/>
      </c>
    </row>
    <row r="51">
      <c r="A51">
        <f>IF(Projects!A7="","",Projects!A7)</f>
        <v/>
      </c>
      <c r="B51" s="16">
        <f>IF($A51="","",SUMIFS(Allocations!T3:T200,Allocations!$B3:$B200,$A51))</f>
        <v/>
      </c>
      <c r="C51" s="16">
        <f>IF($A51="","",SUMIFS(Allocations!U3:U200,Allocations!$B3:$B200,$A51))</f>
        <v/>
      </c>
      <c r="D51" s="16">
        <f>IF($A51="","",SUMIFS(Allocations!V3:V200,Allocations!$B3:$B200,$A51))</f>
        <v/>
      </c>
      <c r="E51" s="16">
        <f>IF($A51="","",SUMIFS(Allocations!W3:W200,Allocations!$B3:$B200,$A51))</f>
        <v/>
      </c>
      <c r="F51" s="16">
        <f>IF($A51="","",SUMIFS(Allocations!X3:X200,Allocations!$B3:$B200,$A51))</f>
        <v/>
      </c>
      <c r="G51" s="16">
        <f>IF($A51="","",SUMIFS(Allocations!Y3:Y200,Allocations!$B3:$B200,$A51))</f>
        <v/>
      </c>
      <c r="H51" s="16">
        <f>IF($A51="","",SUMIFS(Allocations!Z3:Z200,Allocations!$B3:$B200,$A51))</f>
        <v/>
      </c>
      <c r="I51" s="16">
        <f>IF($A51="","",SUMIFS(Allocations!AA3:AA200,Allocations!$B3:$B200,$A51))</f>
        <v/>
      </c>
      <c r="J51" s="16">
        <f>IF($A51="","",SUMIFS(Allocations!AB3:AB200,Allocations!$B3:$B200,$A51))</f>
        <v/>
      </c>
      <c r="K51" s="16">
        <f>IF($A51="","",SUMIFS(Allocations!AC3:AC200,Allocations!$B3:$B200,$A51))</f>
        <v/>
      </c>
      <c r="L51" s="16">
        <f>IF($A51="","",SUMIFS(Allocations!AD3:AD200,Allocations!$B3:$B200,$A51))</f>
        <v/>
      </c>
      <c r="M51" s="16">
        <f>IF($A51="","",SUMIFS(Allocations!AE3:AE200,Allocations!$B3:$B200,$A51))</f>
        <v/>
      </c>
      <c r="N51" s="16">
        <f>IF($A51='','',SUM(B51:M51))</f>
        <v/>
      </c>
    </row>
    <row r="52">
      <c r="A52">
        <f>IF(Projects!A8="","",Projects!A8)</f>
        <v/>
      </c>
      <c r="B52" s="16">
        <f>IF($A52="","",SUMIFS(Allocations!T3:T200,Allocations!$B3:$B200,$A52))</f>
        <v/>
      </c>
      <c r="C52" s="16">
        <f>IF($A52="","",SUMIFS(Allocations!U3:U200,Allocations!$B3:$B200,$A52))</f>
        <v/>
      </c>
      <c r="D52" s="16">
        <f>IF($A52="","",SUMIFS(Allocations!V3:V200,Allocations!$B3:$B200,$A52))</f>
        <v/>
      </c>
      <c r="E52" s="16">
        <f>IF($A52="","",SUMIFS(Allocations!W3:W200,Allocations!$B3:$B200,$A52))</f>
        <v/>
      </c>
      <c r="F52" s="16">
        <f>IF($A52="","",SUMIFS(Allocations!X3:X200,Allocations!$B3:$B200,$A52))</f>
        <v/>
      </c>
      <c r="G52" s="16">
        <f>IF($A52="","",SUMIFS(Allocations!Y3:Y200,Allocations!$B3:$B200,$A52))</f>
        <v/>
      </c>
      <c r="H52" s="16">
        <f>IF($A52="","",SUMIFS(Allocations!Z3:Z200,Allocations!$B3:$B200,$A52))</f>
        <v/>
      </c>
      <c r="I52" s="16">
        <f>IF($A52="","",SUMIFS(Allocations!AA3:AA200,Allocations!$B3:$B200,$A52))</f>
        <v/>
      </c>
      <c r="J52" s="16">
        <f>IF($A52="","",SUMIFS(Allocations!AB3:AB200,Allocations!$B3:$B200,$A52))</f>
        <v/>
      </c>
      <c r="K52" s="16">
        <f>IF($A52="","",SUMIFS(Allocations!AC3:AC200,Allocations!$B3:$B200,$A52))</f>
        <v/>
      </c>
      <c r="L52" s="16">
        <f>IF($A52="","",SUMIFS(Allocations!AD3:AD200,Allocations!$B3:$B200,$A52))</f>
        <v/>
      </c>
      <c r="M52" s="16">
        <f>IF($A52="","",SUMIFS(Allocations!AE3:AE200,Allocations!$B3:$B200,$A52))</f>
        <v/>
      </c>
      <c r="N52" s="16">
        <f>IF($A52='','',SUM(B52:M52))</f>
        <v/>
      </c>
    </row>
    <row r="53">
      <c r="A53">
        <f>IF(Projects!A9="","",Projects!A9)</f>
        <v/>
      </c>
      <c r="B53" s="16">
        <f>IF($A53="","",SUMIFS(Allocations!T3:T200,Allocations!$B3:$B200,$A53))</f>
        <v/>
      </c>
      <c r="C53" s="16">
        <f>IF($A53="","",SUMIFS(Allocations!U3:U200,Allocations!$B3:$B200,$A53))</f>
        <v/>
      </c>
      <c r="D53" s="16">
        <f>IF($A53="","",SUMIFS(Allocations!V3:V200,Allocations!$B3:$B200,$A53))</f>
        <v/>
      </c>
      <c r="E53" s="16">
        <f>IF($A53="","",SUMIFS(Allocations!W3:W200,Allocations!$B3:$B200,$A53))</f>
        <v/>
      </c>
      <c r="F53" s="16">
        <f>IF($A53="","",SUMIFS(Allocations!X3:X200,Allocations!$B3:$B200,$A53))</f>
        <v/>
      </c>
      <c r="G53" s="16">
        <f>IF($A53="","",SUMIFS(Allocations!Y3:Y200,Allocations!$B3:$B200,$A53))</f>
        <v/>
      </c>
      <c r="H53" s="16">
        <f>IF($A53="","",SUMIFS(Allocations!Z3:Z200,Allocations!$B3:$B200,$A53))</f>
        <v/>
      </c>
      <c r="I53" s="16">
        <f>IF($A53="","",SUMIFS(Allocations!AA3:AA200,Allocations!$B3:$B200,$A53))</f>
        <v/>
      </c>
      <c r="J53" s="16">
        <f>IF($A53="","",SUMIFS(Allocations!AB3:AB200,Allocations!$B3:$B200,$A53))</f>
        <v/>
      </c>
      <c r="K53" s="16">
        <f>IF($A53="","",SUMIFS(Allocations!AC3:AC200,Allocations!$B3:$B200,$A53))</f>
        <v/>
      </c>
      <c r="L53" s="16">
        <f>IF($A53="","",SUMIFS(Allocations!AD3:AD200,Allocations!$B3:$B200,$A53))</f>
        <v/>
      </c>
      <c r="M53" s="16">
        <f>IF($A53="","",SUMIFS(Allocations!AE3:AE200,Allocations!$B3:$B200,$A53))</f>
        <v/>
      </c>
      <c r="N53" s="16">
        <f>IF($A53='','',SUM(B53:M53))</f>
        <v/>
      </c>
    </row>
    <row r="54">
      <c r="A54">
        <f>IF(Projects!A10="","",Projects!A10)</f>
        <v/>
      </c>
      <c r="B54" s="16">
        <f>IF($A54="","",SUMIFS(Allocations!T3:T200,Allocations!$B3:$B200,$A54))</f>
        <v/>
      </c>
      <c r="C54" s="16">
        <f>IF($A54="","",SUMIFS(Allocations!U3:U200,Allocations!$B3:$B200,$A54))</f>
        <v/>
      </c>
      <c r="D54" s="16">
        <f>IF($A54="","",SUMIFS(Allocations!V3:V200,Allocations!$B3:$B200,$A54))</f>
        <v/>
      </c>
      <c r="E54" s="16">
        <f>IF($A54="","",SUMIFS(Allocations!W3:W200,Allocations!$B3:$B200,$A54))</f>
        <v/>
      </c>
      <c r="F54" s="16">
        <f>IF($A54="","",SUMIFS(Allocations!X3:X200,Allocations!$B3:$B200,$A54))</f>
        <v/>
      </c>
      <c r="G54" s="16">
        <f>IF($A54="","",SUMIFS(Allocations!Y3:Y200,Allocations!$B3:$B200,$A54))</f>
        <v/>
      </c>
      <c r="H54" s="16">
        <f>IF($A54="","",SUMIFS(Allocations!Z3:Z200,Allocations!$B3:$B200,$A54))</f>
        <v/>
      </c>
      <c r="I54" s="16">
        <f>IF($A54="","",SUMIFS(Allocations!AA3:AA200,Allocations!$B3:$B200,$A54))</f>
        <v/>
      </c>
      <c r="J54" s="16">
        <f>IF($A54="","",SUMIFS(Allocations!AB3:AB200,Allocations!$B3:$B200,$A54))</f>
        <v/>
      </c>
      <c r="K54" s="16">
        <f>IF($A54="","",SUMIFS(Allocations!AC3:AC200,Allocations!$B3:$B200,$A54))</f>
        <v/>
      </c>
      <c r="L54" s="16">
        <f>IF($A54="","",SUMIFS(Allocations!AD3:AD200,Allocations!$B3:$B200,$A54))</f>
        <v/>
      </c>
      <c r="M54" s="16">
        <f>IF($A54="","",SUMIFS(Allocations!AE3:AE200,Allocations!$B3:$B200,$A54))</f>
        <v/>
      </c>
      <c r="N54" s="16">
        <f>IF($A54='','',SUM(B54:M54))</f>
        <v/>
      </c>
    </row>
    <row r="55">
      <c r="A55">
        <f>IF(Projects!A11="","",Projects!A11)</f>
        <v/>
      </c>
      <c r="B55" s="16">
        <f>IF($A55="","",SUMIFS(Allocations!T3:T200,Allocations!$B3:$B200,$A55))</f>
        <v/>
      </c>
      <c r="C55" s="16">
        <f>IF($A55="","",SUMIFS(Allocations!U3:U200,Allocations!$B3:$B200,$A55))</f>
        <v/>
      </c>
      <c r="D55" s="16">
        <f>IF($A55="","",SUMIFS(Allocations!V3:V200,Allocations!$B3:$B200,$A55))</f>
        <v/>
      </c>
      <c r="E55" s="16">
        <f>IF($A55="","",SUMIFS(Allocations!W3:W200,Allocations!$B3:$B200,$A55))</f>
        <v/>
      </c>
      <c r="F55" s="16">
        <f>IF($A55="","",SUMIFS(Allocations!X3:X200,Allocations!$B3:$B200,$A55))</f>
        <v/>
      </c>
      <c r="G55" s="16">
        <f>IF($A55="","",SUMIFS(Allocations!Y3:Y200,Allocations!$B3:$B200,$A55))</f>
        <v/>
      </c>
      <c r="H55" s="16">
        <f>IF($A55="","",SUMIFS(Allocations!Z3:Z200,Allocations!$B3:$B200,$A55))</f>
        <v/>
      </c>
      <c r="I55" s="16">
        <f>IF($A55="","",SUMIFS(Allocations!AA3:AA200,Allocations!$B3:$B200,$A55))</f>
        <v/>
      </c>
      <c r="J55" s="16">
        <f>IF($A55="","",SUMIFS(Allocations!AB3:AB200,Allocations!$B3:$B200,$A55))</f>
        <v/>
      </c>
      <c r="K55" s="16">
        <f>IF($A55="","",SUMIFS(Allocations!AC3:AC200,Allocations!$B3:$B200,$A55))</f>
        <v/>
      </c>
      <c r="L55" s="16">
        <f>IF($A55="","",SUMIFS(Allocations!AD3:AD200,Allocations!$B3:$B200,$A55))</f>
        <v/>
      </c>
      <c r="M55" s="16">
        <f>IF($A55="","",SUMIFS(Allocations!AE3:AE200,Allocations!$B3:$B200,$A55))</f>
        <v/>
      </c>
      <c r="N55" s="16">
        <f>IF($A55='','',SUM(B55:M55))</f>
        <v/>
      </c>
    </row>
    <row r="56">
      <c r="A56">
        <f>IF(Projects!A12="","",Projects!A12)</f>
        <v/>
      </c>
      <c r="B56" s="16">
        <f>IF($A56="","",SUMIFS(Allocations!T3:T200,Allocations!$B3:$B200,$A56))</f>
        <v/>
      </c>
      <c r="C56" s="16">
        <f>IF($A56="","",SUMIFS(Allocations!U3:U200,Allocations!$B3:$B200,$A56))</f>
        <v/>
      </c>
      <c r="D56" s="16">
        <f>IF($A56="","",SUMIFS(Allocations!V3:V200,Allocations!$B3:$B200,$A56))</f>
        <v/>
      </c>
      <c r="E56" s="16">
        <f>IF($A56="","",SUMIFS(Allocations!W3:W200,Allocations!$B3:$B200,$A56))</f>
        <v/>
      </c>
      <c r="F56" s="16">
        <f>IF($A56="","",SUMIFS(Allocations!X3:X200,Allocations!$B3:$B200,$A56))</f>
        <v/>
      </c>
      <c r="G56" s="16">
        <f>IF($A56="","",SUMIFS(Allocations!Y3:Y200,Allocations!$B3:$B200,$A56))</f>
        <v/>
      </c>
      <c r="H56" s="16">
        <f>IF($A56="","",SUMIFS(Allocations!Z3:Z200,Allocations!$B3:$B200,$A56))</f>
        <v/>
      </c>
      <c r="I56" s="16">
        <f>IF($A56="","",SUMIFS(Allocations!AA3:AA200,Allocations!$B3:$B200,$A56))</f>
        <v/>
      </c>
      <c r="J56" s="16">
        <f>IF($A56="","",SUMIFS(Allocations!AB3:AB200,Allocations!$B3:$B200,$A56))</f>
        <v/>
      </c>
      <c r="K56" s="16">
        <f>IF($A56="","",SUMIFS(Allocations!AC3:AC200,Allocations!$B3:$B200,$A56))</f>
        <v/>
      </c>
      <c r="L56" s="16">
        <f>IF($A56="","",SUMIFS(Allocations!AD3:AD200,Allocations!$B3:$B200,$A56))</f>
        <v/>
      </c>
      <c r="M56" s="16">
        <f>IF($A56="","",SUMIFS(Allocations!AE3:AE200,Allocations!$B3:$B200,$A56))</f>
        <v/>
      </c>
      <c r="N56" s="16">
        <f>IF($A56='','',SUM(B56:M56))</f>
        <v/>
      </c>
    </row>
    <row r="57">
      <c r="A57">
        <f>IF(Projects!A13="","",Projects!A13)</f>
        <v/>
      </c>
      <c r="B57" s="16">
        <f>IF($A57="","",SUMIFS(Allocations!T3:T200,Allocations!$B3:$B200,$A57))</f>
        <v/>
      </c>
      <c r="C57" s="16">
        <f>IF($A57="","",SUMIFS(Allocations!U3:U200,Allocations!$B3:$B200,$A57))</f>
        <v/>
      </c>
      <c r="D57" s="16">
        <f>IF($A57="","",SUMIFS(Allocations!V3:V200,Allocations!$B3:$B200,$A57))</f>
        <v/>
      </c>
      <c r="E57" s="16">
        <f>IF($A57="","",SUMIFS(Allocations!W3:W200,Allocations!$B3:$B200,$A57))</f>
        <v/>
      </c>
      <c r="F57" s="16">
        <f>IF($A57="","",SUMIFS(Allocations!X3:X200,Allocations!$B3:$B200,$A57))</f>
        <v/>
      </c>
      <c r="G57" s="16">
        <f>IF($A57="","",SUMIFS(Allocations!Y3:Y200,Allocations!$B3:$B200,$A57))</f>
        <v/>
      </c>
      <c r="H57" s="16">
        <f>IF($A57="","",SUMIFS(Allocations!Z3:Z200,Allocations!$B3:$B200,$A57))</f>
        <v/>
      </c>
      <c r="I57" s="16">
        <f>IF($A57="","",SUMIFS(Allocations!AA3:AA200,Allocations!$B3:$B200,$A57))</f>
        <v/>
      </c>
      <c r="J57" s="16">
        <f>IF($A57="","",SUMIFS(Allocations!AB3:AB200,Allocations!$B3:$B200,$A57))</f>
        <v/>
      </c>
      <c r="K57" s="16">
        <f>IF($A57="","",SUMIFS(Allocations!AC3:AC200,Allocations!$B3:$B200,$A57))</f>
        <v/>
      </c>
      <c r="L57" s="16">
        <f>IF($A57="","",SUMIFS(Allocations!AD3:AD200,Allocations!$B3:$B200,$A57))</f>
        <v/>
      </c>
      <c r="M57" s="16">
        <f>IF($A57="","",SUMIFS(Allocations!AE3:AE200,Allocations!$B3:$B200,$A57))</f>
        <v/>
      </c>
      <c r="N57" s="16">
        <f>IF($A57='','',SUM(B57:M57))</f>
        <v/>
      </c>
    </row>
    <row r="58">
      <c r="A58">
        <f>IF(Projects!A14="","",Projects!A14)</f>
        <v/>
      </c>
      <c r="B58" s="16">
        <f>IF($A58="","",SUMIFS(Allocations!T3:T200,Allocations!$B3:$B200,$A58))</f>
        <v/>
      </c>
      <c r="C58" s="16">
        <f>IF($A58="","",SUMIFS(Allocations!U3:U200,Allocations!$B3:$B200,$A58))</f>
        <v/>
      </c>
      <c r="D58" s="16">
        <f>IF($A58="","",SUMIFS(Allocations!V3:V200,Allocations!$B3:$B200,$A58))</f>
        <v/>
      </c>
      <c r="E58" s="16">
        <f>IF($A58="","",SUMIFS(Allocations!W3:W200,Allocations!$B3:$B200,$A58))</f>
        <v/>
      </c>
      <c r="F58" s="16">
        <f>IF($A58="","",SUMIFS(Allocations!X3:X200,Allocations!$B3:$B200,$A58))</f>
        <v/>
      </c>
      <c r="G58" s="16">
        <f>IF($A58="","",SUMIFS(Allocations!Y3:Y200,Allocations!$B3:$B200,$A58))</f>
        <v/>
      </c>
      <c r="H58" s="16">
        <f>IF($A58="","",SUMIFS(Allocations!Z3:Z200,Allocations!$B3:$B200,$A58))</f>
        <v/>
      </c>
      <c r="I58" s="16">
        <f>IF($A58="","",SUMIFS(Allocations!AA3:AA200,Allocations!$B3:$B200,$A58))</f>
        <v/>
      </c>
      <c r="J58" s="16">
        <f>IF($A58="","",SUMIFS(Allocations!AB3:AB200,Allocations!$B3:$B200,$A58))</f>
        <v/>
      </c>
      <c r="K58" s="16">
        <f>IF($A58="","",SUMIFS(Allocations!AC3:AC200,Allocations!$B3:$B200,$A58))</f>
        <v/>
      </c>
      <c r="L58" s="16">
        <f>IF($A58="","",SUMIFS(Allocations!AD3:AD200,Allocations!$B3:$B200,$A58))</f>
        <v/>
      </c>
      <c r="M58" s="16">
        <f>IF($A58="","",SUMIFS(Allocations!AE3:AE200,Allocations!$B3:$B200,$A58))</f>
        <v/>
      </c>
      <c r="N58" s="16">
        <f>IF($A58='','',SUM(B58:M58))</f>
        <v/>
      </c>
    </row>
    <row r="59">
      <c r="A59">
        <f>IF(Projects!A15="","",Projects!A15)</f>
        <v/>
      </c>
      <c r="B59" s="16">
        <f>IF($A59="","",SUMIFS(Allocations!T3:T200,Allocations!$B3:$B200,$A59))</f>
        <v/>
      </c>
      <c r="C59" s="16">
        <f>IF($A59="","",SUMIFS(Allocations!U3:U200,Allocations!$B3:$B200,$A59))</f>
        <v/>
      </c>
      <c r="D59" s="16">
        <f>IF($A59="","",SUMIFS(Allocations!V3:V200,Allocations!$B3:$B200,$A59))</f>
        <v/>
      </c>
      <c r="E59" s="16">
        <f>IF($A59="","",SUMIFS(Allocations!W3:W200,Allocations!$B3:$B200,$A59))</f>
        <v/>
      </c>
      <c r="F59" s="16">
        <f>IF($A59="","",SUMIFS(Allocations!X3:X200,Allocations!$B3:$B200,$A59))</f>
        <v/>
      </c>
      <c r="G59" s="16">
        <f>IF($A59="","",SUMIFS(Allocations!Y3:Y200,Allocations!$B3:$B200,$A59))</f>
        <v/>
      </c>
      <c r="H59" s="16">
        <f>IF($A59="","",SUMIFS(Allocations!Z3:Z200,Allocations!$B3:$B200,$A59))</f>
        <v/>
      </c>
      <c r="I59" s="16">
        <f>IF($A59="","",SUMIFS(Allocations!AA3:AA200,Allocations!$B3:$B200,$A59))</f>
        <v/>
      </c>
      <c r="J59" s="16">
        <f>IF($A59="","",SUMIFS(Allocations!AB3:AB200,Allocations!$B3:$B200,$A59))</f>
        <v/>
      </c>
      <c r="K59" s="16">
        <f>IF($A59="","",SUMIFS(Allocations!AC3:AC200,Allocations!$B3:$B200,$A59))</f>
        <v/>
      </c>
      <c r="L59" s="16">
        <f>IF($A59="","",SUMIFS(Allocations!AD3:AD200,Allocations!$B3:$B200,$A59))</f>
        <v/>
      </c>
      <c r="M59" s="16">
        <f>IF($A59="","",SUMIFS(Allocations!AE3:AE200,Allocations!$B3:$B200,$A59))</f>
        <v/>
      </c>
      <c r="N59" s="16">
        <f>IF($A59='','',SUM(B59:M59))</f>
        <v/>
      </c>
    </row>
    <row r="60">
      <c r="A60">
        <f>IF(Projects!A16="","",Projects!A16)</f>
        <v/>
      </c>
      <c r="B60" s="16">
        <f>IF($A60="","",SUMIFS(Allocations!T3:T200,Allocations!$B3:$B200,$A60))</f>
        <v/>
      </c>
      <c r="C60" s="16">
        <f>IF($A60="","",SUMIFS(Allocations!U3:U200,Allocations!$B3:$B200,$A60))</f>
        <v/>
      </c>
      <c r="D60" s="16">
        <f>IF($A60="","",SUMIFS(Allocations!V3:V200,Allocations!$B3:$B200,$A60))</f>
        <v/>
      </c>
      <c r="E60" s="16">
        <f>IF($A60="","",SUMIFS(Allocations!W3:W200,Allocations!$B3:$B200,$A60))</f>
        <v/>
      </c>
      <c r="F60" s="16">
        <f>IF($A60="","",SUMIFS(Allocations!X3:X200,Allocations!$B3:$B200,$A60))</f>
        <v/>
      </c>
      <c r="G60" s="16">
        <f>IF($A60="","",SUMIFS(Allocations!Y3:Y200,Allocations!$B3:$B200,$A60))</f>
        <v/>
      </c>
      <c r="H60" s="16">
        <f>IF($A60="","",SUMIFS(Allocations!Z3:Z200,Allocations!$B3:$B200,$A60))</f>
        <v/>
      </c>
      <c r="I60" s="16">
        <f>IF($A60="","",SUMIFS(Allocations!AA3:AA200,Allocations!$B3:$B200,$A60))</f>
        <v/>
      </c>
      <c r="J60" s="16">
        <f>IF($A60="","",SUMIFS(Allocations!AB3:AB200,Allocations!$B3:$B200,$A60))</f>
        <v/>
      </c>
      <c r="K60" s="16">
        <f>IF($A60="","",SUMIFS(Allocations!AC3:AC200,Allocations!$B3:$B200,$A60))</f>
        <v/>
      </c>
      <c r="L60" s="16">
        <f>IF($A60="","",SUMIFS(Allocations!AD3:AD200,Allocations!$B3:$B200,$A60))</f>
        <v/>
      </c>
      <c r="M60" s="16">
        <f>IF($A60="","",SUMIFS(Allocations!AE3:AE200,Allocations!$B3:$B200,$A60))</f>
        <v/>
      </c>
      <c r="N60" s="16">
        <f>IF($A60='','',SUM(B60:M60))</f>
        <v/>
      </c>
    </row>
    <row r="61">
      <c r="A61">
        <f>IF(Projects!A17="","",Projects!A17)</f>
        <v/>
      </c>
      <c r="B61" s="16">
        <f>IF($A61="","",SUMIFS(Allocations!T3:T200,Allocations!$B3:$B200,$A61))</f>
        <v/>
      </c>
      <c r="C61" s="16">
        <f>IF($A61="","",SUMIFS(Allocations!U3:U200,Allocations!$B3:$B200,$A61))</f>
        <v/>
      </c>
      <c r="D61" s="16">
        <f>IF($A61="","",SUMIFS(Allocations!V3:V200,Allocations!$B3:$B200,$A61))</f>
        <v/>
      </c>
      <c r="E61" s="16">
        <f>IF($A61="","",SUMIFS(Allocations!W3:W200,Allocations!$B3:$B200,$A61))</f>
        <v/>
      </c>
      <c r="F61" s="16">
        <f>IF($A61="","",SUMIFS(Allocations!X3:X200,Allocations!$B3:$B200,$A61))</f>
        <v/>
      </c>
      <c r="G61" s="16">
        <f>IF($A61="","",SUMIFS(Allocations!Y3:Y200,Allocations!$B3:$B200,$A61))</f>
        <v/>
      </c>
      <c r="H61" s="16">
        <f>IF($A61="","",SUMIFS(Allocations!Z3:Z200,Allocations!$B3:$B200,$A61))</f>
        <v/>
      </c>
      <c r="I61" s="16">
        <f>IF($A61="","",SUMIFS(Allocations!AA3:AA200,Allocations!$B3:$B200,$A61))</f>
        <v/>
      </c>
      <c r="J61" s="16">
        <f>IF($A61="","",SUMIFS(Allocations!AB3:AB200,Allocations!$B3:$B200,$A61))</f>
        <v/>
      </c>
      <c r="K61" s="16">
        <f>IF($A61="","",SUMIFS(Allocations!AC3:AC200,Allocations!$B3:$B200,$A61))</f>
        <v/>
      </c>
      <c r="L61" s="16">
        <f>IF($A61="","",SUMIFS(Allocations!AD3:AD200,Allocations!$B3:$B200,$A61))</f>
        <v/>
      </c>
      <c r="M61" s="16">
        <f>IF($A61="","",SUMIFS(Allocations!AE3:AE200,Allocations!$B3:$B200,$A61))</f>
        <v/>
      </c>
      <c r="N61" s="16">
        <f>IF($A61='','',SUM(B61:M61))</f>
        <v/>
      </c>
    </row>
    <row r="62">
      <c r="A62">
        <f>IF(Projects!A18="","",Projects!A18)</f>
        <v/>
      </c>
      <c r="B62" s="16">
        <f>IF($A62="","",SUMIFS(Allocations!T3:T200,Allocations!$B3:$B200,$A62))</f>
        <v/>
      </c>
      <c r="C62" s="16">
        <f>IF($A62="","",SUMIFS(Allocations!U3:U200,Allocations!$B3:$B200,$A62))</f>
        <v/>
      </c>
      <c r="D62" s="16">
        <f>IF($A62="","",SUMIFS(Allocations!V3:V200,Allocations!$B3:$B200,$A62))</f>
        <v/>
      </c>
      <c r="E62" s="16">
        <f>IF($A62="","",SUMIFS(Allocations!W3:W200,Allocations!$B3:$B200,$A62))</f>
        <v/>
      </c>
      <c r="F62" s="16">
        <f>IF($A62="","",SUMIFS(Allocations!X3:X200,Allocations!$B3:$B200,$A62))</f>
        <v/>
      </c>
      <c r="G62" s="16">
        <f>IF($A62="","",SUMIFS(Allocations!Y3:Y200,Allocations!$B3:$B200,$A62))</f>
        <v/>
      </c>
      <c r="H62" s="16">
        <f>IF($A62="","",SUMIFS(Allocations!Z3:Z200,Allocations!$B3:$B200,$A62))</f>
        <v/>
      </c>
      <c r="I62" s="16">
        <f>IF($A62="","",SUMIFS(Allocations!AA3:AA200,Allocations!$B3:$B200,$A62))</f>
        <v/>
      </c>
      <c r="J62" s="16">
        <f>IF($A62="","",SUMIFS(Allocations!AB3:AB200,Allocations!$B3:$B200,$A62))</f>
        <v/>
      </c>
      <c r="K62" s="16">
        <f>IF($A62="","",SUMIFS(Allocations!AC3:AC200,Allocations!$B3:$B200,$A62))</f>
        <v/>
      </c>
      <c r="L62" s="16">
        <f>IF($A62="","",SUMIFS(Allocations!AD3:AD200,Allocations!$B3:$B200,$A62))</f>
        <v/>
      </c>
      <c r="M62" s="16">
        <f>IF($A62="","",SUMIFS(Allocations!AE3:AE200,Allocations!$B3:$B200,$A62))</f>
        <v/>
      </c>
      <c r="N62" s="16">
        <f>IF($A62='','',SUM(B62:M62))</f>
        <v/>
      </c>
    </row>
    <row r="63">
      <c r="A63">
        <f>IF(Projects!A19="","",Projects!A19)</f>
        <v/>
      </c>
      <c r="B63" s="16">
        <f>IF($A63="","",SUMIFS(Allocations!T3:T200,Allocations!$B3:$B200,$A63))</f>
        <v/>
      </c>
      <c r="C63" s="16">
        <f>IF($A63="","",SUMIFS(Allocations!U3:U200,Allocations!$B3:$B200,$A63))</f>
        <v/>
      </c>
      <c r="D63" s="16">
        <f>IF($A63="","",SUMIFS(Allocations!V3:V200,Allocations!$B3:$B200,$A63))</f>
        <v/>
      </c>
      <c r="E63" s="16">
        <f>IF($A63="","",SUMIFS(Allocations!W3:W200,Allocations!$B3:$B200,$A63))</f>
        <v/>
      </c>
      <c r="F63" s="16">
        <f>IF($A63="","",SUMIFS(Allocations!X3:X200,Allocations!$B3:$B200,$A63))</f>
        <v/>
      </c>
      <c r="G63" s="16">
        <f>IF($A63="","",SUMIFS(Allocations!Y3:Y200,Allocations!$B3:$B200,$A63))</f>
        <v/>
      </c>
      <c r="H63" s="16">
        <f>IF($A63="","",SUMIFS(Allocations!Z3:Z200,Allocations!$B3:$B200,$A63))</f>
        <v/>
      </c>
      <c r="I63" s="16">
        <f>IF($A63="","",SUMIFS(Allocations!AA3:AA200,Allocations!$B3:$B200,$A63))</f>
        <v/>
      </c>
      <c r="J63" s="16">
        <f>IF($A63="","",SUMIFS(Allocations!AB3:AB200,Allocations!$B3:$B200,$A63))</f>
        <v/>
      </c>
      <c r="K63" s="16">
        <f>IF($A63="","",SUMIFS(Allocations!AC3:AC200,Allocations!$B3:$B200,$A63))</f>
        <v/>
      </c>
      <c r="L63" s="16">
        <f>IF($A63="","",SUMIFS(Allocations!AD3:AD200,Allocations!$B3:$B200,$A63))</f>
        <v/>
      </c>
      <c r="M63" s="16">
        <f>IF($A63="","",SUMIFS(Allocations!AE3:AE200,Allocations!$B3:$B200,$A63))</f>
        <v/>
      </c>
      <c r="N63" s="16">
        <f>IF($A63='','',SUM(B63:M63))</f>
        <v/>
      </c>
    </row>
    <row r="64">
      <c r="A64">
        <f>IF(Projects!A20="","",Projects!A20)</f>
        <v/>
      </c>
      <c r="B64" s="16">
        <f>IF($A64="","",SUMIFS(Allocations!T3:T200,Allocations!$B3:$B200,$A64))</f>
        <v/>
      </c>
      <c r="C64" s="16">
        <f>IF($A64="","",SUMIFS(Allocations!U3:U200,Allocations!$B3:$B200,$A64))</f>
        <v/>
      </c>
      <c r="D64" s="16">
        <f>IF($A64="","",SUMIFS(Allocations!V3:V200,Allocations!$B3:$B200,$A64))</f>
        <v/>
      </c>
      <c r="E64" s="16">
        <f>IF($A64="","",SUMIFS(Allocations!W3:W200,Allocations!$B3:$B200,$A64))</f>
        <v/>
      </c>
      <c r="F64" s="16">
        <f>IF($A64="","",SUMIFS(Allocations!X3:X200,Allocations!$B3:$B200,$A64))</f>
        <v/>
      </c>
      <c r="G64" s="16">
        <f>IF($A64="","",SUMIFS(Allocations!Y3:Y200,Allocations!$B3:$B200,$A64))</f>
        <v/>
      </c>
      <c r="H64" s="16">
        <f>IF($A64="","",SUMIFS(Allocations!Z3:Z200,Allocations!$B3:$B200,$A64))</f>
        <v/>
      </c>
      <c r="I64" s="16">
        <f>IF($A64="","",SUMIFS(Allocations!AA3:AA200,Allocations!$B3:$B200,$A64))</f>
        <v/>
      </c>
      <c r="J64" s="16">
        <f>IF($A64="","",SUMIFS(Allocations!AB3:AB200,Allocations!$B3:$B200,$A64))</f>
        <v/>
      </c>
      <c r="K64" s="16">
        <f>IF($A64="","",SUMIFS(Allocations!AC3:AC200,Allocations!$B3:$B200,$A64))</f>
        <v/>
      </c>
      <c r="L64" s="16">
        <f>IF($A64="","",SUMIFS(Allocations!AD3:AD200,Allocations!$B3:$B200,$A64))</f>
        <v/>
      </c>
      <c r="M64" s="16">
        <f>IF($A64="","",SUMIFS(Allocations!AE3:AE200,Allocations!$B3:$B200,$A64))</f>
        <v/>
      </c>
      <c r="N64" s="16">
        <f>IF($A64='','',SUM(B64:M64))</f>
        <v/>
      </c>
    </row>
    <row r="65">
      <c r="A65">
        <f>IF(Projects!A21="","",Projects!A21)</f>
        <v/>
      </c>
      <c r="B65" s="16">
        <f>IF($A65="","",SUMIFS(Allocations!T3:T200,Allocations!$B3:$B200,$A65))</f>
        <v/>
      </c>
      <c r="C65" s="16">
        <f>IF($A65="","",SUMIFS(Allocations!U3:U200,Allocations!$B3:$B200,$A65))</f>
        <v/>
      </c>
      <c r="D65" s="16">
        <f>IF($A65="","",SUMIFS(Allocations!V3:V200,Allocations!$B3:$B200,$A65))</f>
        <v/>
      </c>
      <c r="E65" s="16">
        <f>IF($A65="","",SUMIFS(Allocations!W3:W200,Allocations!$B3:$B200,$A65))</f>
        <v/>
      </c>
      <c r="F65" s="16">
        <f>IF($A65="","",SUMIFS(Allocations!X3:X200,Allocations!$B3:$B200,$A65))</f>
        <v/>
      </c>
      <c r="G65" s="16">
        <f>IF($A65="","",SUMIFS(Allocations!Y3:Y200,Allocations!$B3:$B200,$A65))</f>
        <v/>
      </c>
      <c r="H65" s="16">
        <f>IF($A65="","",SUMIFS(Allocations!Z3:Z200,Allocations!$B3:$B200,$A65))</f>
        <v/>
      </c>
      <c r="I65" s="16">
        <f>IF($A65="","",SUMIFS(Allocations!AA3:AA200,Allocations!$B3:$B200,$A65))</f>
        <v/>
      </c>
      <c r="J65" s="16">
        <f>IF($A65="","",SUMIFS(Allocations!AB3:AB200,Allocations!$B3:$B200,$A65))</f>
        <v/>
      </c>
      <c r="K65" s="16">
        <f>IF($A65="","",SUMIFS(Allocations!AC3:AC200,Allocations!$B3:$B200,$A65))</f>
        <v/>
      </c>
      <c r="L65" s="16">
        <f>IF($A65="","",SUMIFS(Allocations!AD3:AD200,Allocations!$B3:$B200,$A65))</f>
        <v/>
      </c>
      <c r="M65" s="16">
        <f>IF($A65="","",SUMIFS(Allocations!AE3:AE200,Allocations!$B3:$B200,$A65))</f>
        <v/>
      </c>
      <c r="N65" s="16">
        <f>IF($A65='','',SUM(B65:M65))</f>
        <v/>
      </c>
    </row>
    <row r="66">
      <c r="A66" t="inlineStr">
        <is>
          <t>TOTAL (all projects)</t>
        </is>
      </c>
      <c r="B66" s="16">
        <f>IF($A66="","",SUMIFS(Allocations!T3:T200,Allocations!$B3:$B200,$A66))</f>
        <v/>
      </c>
      <c r="C66" s="16">
        <f>IF($A66="","",SUMIFS(Allocations!U3:U200,Allocations!$B3:$B200,$A66))</f>
        <v/>
      </c>
      <c r="D66" s="16">
        <f>IF($A66="","",SUMIFS(Allocations!V3:V200,Allocations!$B3:$B200,$A66))</f>
        <v/>
      </c>
      <c r="E66" s="16">
        <f>IF($A66="","",SUMIFS(Allocations!W3:W200,Allocations!$B3:$B200,$A66))</f>
        <v/>
      </c>
      <c r="F66" s="16">
        <f>IF($A66="","",SUMIFS(Allocations!X3:X200,Allocations!$B3:$B200,$A66))</f>
        <v/>
      </c>
      <c r="G66" s="16">
        <f>IF($A66="","",SUMIFS(Allocations!Y3:Y200,Allocations!$B3:$B200,$A66))</f>
        <v/>
      </c>
      <c r="H66" s="16">
        <f>IF($A66="","",SUMIFS(Allocations!Z3:Z200,Allocations!$B3:$B200,$A66))</f>
        <v/>
      </c>
      <c r="I66" s="16">
        <f>IF($A66="","",SUMIFS(Allocations!AA3:AA200,Allocations!$B3:$B200,$A66))</f>
        <v/>
      </c>
      <c r="J66" s="16">
        <f>IF($A66="","",SUMIFS(Allocations!AB3:AB200,Allocations!$B3:$B200,$A66))</f>
        <v/>
      </c>
      <c r="K66" s="16">
        <f>IF($A66="","",SUMIFS(Allocations!AC3:AC200,Allocations!$B3:$B200,$A66))</f>
        <v/>
      </c>
      <c r="L66" s="16">
        <f>IF($A66="","",SUMIFS(Allocations!AD3:AD200,Allocations!$B3:$B200,$A66))</f>
        <v/>
      </c>
      <c r="M66" s="16">
        <f>IF($A66="","",SUMIFS(Allocations!AE3:AE200,Allocations!$B3:$B200,$A66))</f>
        <v/>
      </c>
      <c r="N66" s="16">
        <f>IF($A66='','',SUM(B66:M66))</f>
        <v/>
      </c>
    </row>
    <row r="67"/>
    <row r="68">
      <c r="A68" s="17" t="inlineStr">
        <is>
          <t>Developer budget (SGD) - Utilization x Mandays x DevRate</t>
        </is>
      </c>
    </row>
    <row r="69">
      <c r="A69" s="4" t="inlineStr">
        <is>
          <t>Developer</t>
        </is>
      </c>
      <c r="B69" s="22" t="inlineStr">
        <is>
          <t>Jan</t>
        </is>
      </c>
      <c r="C69" s="22" t="inlineStr">
        <is>
          <t>Feb</t>
        </is>
      </c>
      <c r="D69" s="22" t="inlineStr">
        <is>
          <t>Mar</t>
        </is>
      </c>
      <c r="E69" s="22" t="inlineStr">
        <is>
          <t>Apr</t>
        </is>
      </c>
      <c r="F69" s="22" t="inlineStr">
        <is>
          <t>May</t>
        </is>
      </c>
      <c r="G69" s="22" t="inlineStr">
        <is>
          <t>Jun</t>
        </is>
      </c>
      <c r="H69" s="22" t="inlineStr">
        <is>
          <t>Jul</t>
        </is>
      </c>
      <c r="I69" s="22" t="inlineStr">
        <is>
          <t>Aug</t>
        </is>
      </c>
      <c r="J69" s="22" t="inlineStr">
        <is>
          <t>Sep</t>
        </is>
      </c>
      <c r="K69" s="22" t="inlineStr">
        <is>
          <t>Oct</t>
        </is>
      </c>
      <c r="L69" s="22" t="inlineStr">
        <is>
          <t>Nov</t>
        </is>
      </c>
      <c r="M69" s="22" t="inlineStr">
        <is>
          <t>Dec</t>
        </is>
      </c>
      <c r="N69" s="22" t="inlineStr">
        <is>
          <t>Total</t>
        </is>
      </c>
    </row>
    <row r="70">
      <c r="A70" s="23">
        <f>IF(Projects!A4="","",Projects!A4)</f>
        <v/>
      </c>
      <c r="B70" s="24">
        <f>IF($A70="","",Mandays*VLOOKUP($A70,Lists!$H$3:$I$4,2,FALSE)*B70)</f>
        <v/>
      </c>
      <c r="C70" s="24">
        <f>IF($A70="","",Mandays*VLOOKUP($A70,Lists!$H$3:$I$4,2,FALSE)*C70)</f>
        <v/>
      </c>
      <c r="D70" s="24">
        <f>IF($A70="","",Mandays*VLOOKUP($A70,Lists!$H$3:$I$4,2,FALSE)*D70)</f>
        <v/>
      </c>
      <c r="E70" s="24">
        <f>IF($A70="","",Mandays*VLOOKUP($A70,Lists!$H$3:$I$4,2,FALSE)*E70)</f>
        <v/>
      </c>
      <c r="F70" s="24">
        <f>IF($A70="","",Mandays*VLOOKUP($A70,Lists!$H$3:$I$4,2,FALSE)*F70)</f>
        <v/>
      </c>
      <c r="G70" s="24">
        <f>IF($A70="","",Mandays*VLOOKUP($A70,Lists!$H$3:$I$4,2,FALSE)*G70)</f>
        <v/>
      </c>
      <c r="H70" s="24">
        <f>IF($A70="","",Mandays*VLOOKUP($A70,Lists!$H$3:$I$4,2,FALSE)*H70)</f>
        <v/>
      </c>
      <c r="I70" s="24">
        <f>IF($A70="","",Mandays*VLOOKUP($A70,Lists!$H$3:$I$4,2,FALSE)*I70)</f>
        <v/>
      </c>
      <c r="J70" s="24">
        <f>IF($A70="","",Mandays*VLOOKUP($A70,Lists!$H$3:$I$4,2,FALSE)*J70)</f>
        <v/>
      </c>
      <c r="K70" s="24">
        <f>IF($A70="","",Mandays*VLOOKUP($A70,Lists!$H$3:$I$4,2,FALSE)*K70)</f>
        <v/>
      </c>
      <c r="L70" s="24">
        <f>IF($A70="","",Mandays*VLOOKUP($A70,Lists!$H$3:$I$4,2,FALSE)*L70)</f>
        <v/>
      </c>
      <c r="M70" s="24">
        <f>IF($A70="","",Mandays*VLOOKUP($A70,Lists!$H$3:$I$4,2,FALSE)*M70)</f>
        <v/>
      </c>
      <c r="N70" s="24">
        <f>SUM(B70:M70)</f>
        <v/>
      </c>
    </row>
    <row r="71">
      <c r="A71" s="23">
        <f>IF(Projects!A5="","",Projects!A5)</f>
        <v/>
      </c>
      <c r="B71" s="24">
        <f>IF($A71="","",Mandays*VLOOKUP($A71,Lists!$H$3:$I$4,2,FALSE)*B70)</f>
        <v/>
      </c>
      <c r="C71" s="24">
        <f>IF($A71="","",Mandays*VLOOKUP($A71,Lists!$H$3:$I$4,2,FALSE)*C70)</f>
        <v/>
      </c>
      <c r="D71" s="24">
        <f>IF($A71="","",Mandays*VLOOKUP($A71,Lists!$H$3:$I$4,2,FALSE)*D70)</f>
        <v/>
      </c>
      <c r="E71" s="24">
        <f>IF($A71="","",Mandays*VLOOKUP($A71,Lists!$H$3:$I$4,2,FALSE)*E70)</f>
        <v/>
      </c>
      <c r="F71" s="24">
        <f>IF($A71="","",Mandays*VLOOKUP($A71,Lists!$H$3:$I$4,2,FALSE)*F70)</f>
        <v/>
      </c>
      <c r="G71" s="24">
        <f>IF($A71="","",Mandays*VLOOKUP($A71,Lists!$H$3:$I$4,2,FALSE)*G70)</f>
        <v/>
      </c>
      <c r="H71" s="24">
        <f>IF($A71="","",Mandays*VLOOKUP($A71,Lists!$H$3:$I$4,2,FALSE)*H70)</f>
        <v/>
      </c>
      <c r="I71" s="24">
        <f>IF($A71="","",Mandays*VLOOKUP($A71,Lists!$H$3:$I$4,2,FALSE)*I70)</f>
        <v/>
      </c>
      <c r="J71" s="24">
        <f>IF($A71="","",Mandays*VLOOKUP($A71,Lists!$H$3:$I$4,2,FALSE)*J70)</f>
        <v/>
      </c>
      <c r="K71" s="24">
        <f>IF($A71="","",Mandays*VLOOKUP($A71,Lists!$H$3:$I$4,2,FALSE)*K70)</f>
        <v/>
      </c>
      <c r="L71" s="24">
        <f>IF($A71="","",Mandays*VLOOKUP($A71,Lists!$H$3:$I$4,2,FALSE)*L70)</f>
        <v/>
      </c>
      <c r="M71" s="24">
        <f>IF($A71="","",Mandays*VLOOKUP($A71,Lists!$H$3:$I$4,2,FALSE)*M70)</f>
        <v/>
      </c>
      <c r="N71" s="24">
        <f>SUM(B71:M71)</f>
        <v/>
      </c>
    </row>
    <row r="72">
      <c r="A72" s="23">
        <f>IF(Projects!A6="","",Projects!A6)</f>
        <v/>
      </c>
      <c r="B72" s="24">
        <f>IF($A72="","",Mandays*VLOOKUP($A72,Lists!$H$3:$I$4,2,FALSE)*B70)</f>
        <v/>
      </c>
      <c r="C72" s="24">
        <f>IF($A72="","",Mandays*VLOOKUP($A72,Lists!$H$3:$I$4,2,FALSE)*C70)</f>
        <v/>
      </c>
      <c r="D72" s="24">
        <f>IF($A72="","",Mandays*VLOOKUP($A72,Lists!$H$3:$I$4,2,FALSE)*D70)</f>
        <v/>
      </c>
      <c r="E72" s="24">
        <f>IF($A72="","",Mandays*VLOOKUP($A72,Lists!$H$3:$I$4,2,FALSE)*E70)</f>
        <v/>
      </c>
      <c r="F72" s="24">
        <f>IF($A72="","",Mandays*VLOOKUP($A72,Lists!$H$3:$I$4,2,FALSE)*F70)</f>
        <v/>
      </c>
      <c r="G72" s="24">
        <f>IF($A72="","",Mandays*VLOOKUP($A72,Lists!$H$3:$I$4,2,FALSE)*G70)</f>
        <v/>
      </c>
      <c r="H72" s="24">
        <f>IF($A72="","",Mandays*VLOOKUP($A72,Lists!$H$3:$I$4,2,FALSE)*H70)</f>
        <v/>
      </c>
      <c r="I72" s="24">
        <f>IF($A72="","",Mandays*VLOOKUP($A72,Lists!$H$3:$I$4,2,FALSE)*I70)</f>
        <v/>
      </c>
      <c r="J72" s="24">
        <f>IF($A72="","",Mandays*VLOOKUP($A72,Lists!$H$3:$I$4,2,FALSE)*J70)</f>
        <v/>
      </c>
      <c r="K72" s="24">
        <f>IF($A72="","",Mandays*VLOOKUP($A72,Lists!$H$3:$I$4,2,FALSE)*K70)</f>
        <v/>
      </c>
      <c r="L72" s="24">
        <f>IF($A72="","",Mandays*VLOOKUP($A72,Lists!$H$3:$I$4,2,FALSE)*L70)</f>
        <v/>
      </c>
      <c r="M72" s="24">
        <f>IF($A72="","",Mandays*VLOOKUP($A72,Lists!$H$3:$I$4,2,FALSE)*M70)</f>
        <v/>
      </c>
      <c r="N72" s="24">
        <f>SUM(B72:M72)</f>
        <v/>
      </c>
    </row>
    <row r="73">
      <c r="A73" s="23">
        <f>IF(Projects!A7="","",Projects!A7)</f>
        <v/>
      </c>
      <c r="B73" s="24">
        <f>IF($A73="","",Mandays*VLOOKUP($A73,Lists!$H$3:$I$4,2,FALSE)*B70)</f>
        <v/>
      </c>
      <c r="C73" s="24">
        <f>IF($A73="","",Mandays*VLOOKUP($A73,Lists!$H$3:$I$4,2,FALSE)*C70)</f>
        <v/>
      </c>
      <c r="D73" s="24">
        <f>IF($A73="","",Mandays*VLOOKUP($A73,Lists!$H$3:$I$4,2,FALSE)*D70)</f>
        <v/>
      </c>
      <c r="E73" s="24">
        <f>IF($A73="","",Mandays*VLOOKUP($A73,Lists!$H$3:$I$4,2,FALSE)*E70)</f>
        <v/>
      </c>
      <c r="F73" s="24">
        <f>IF($A73="","",Mandays*VLOOKUP($A73,Lists!$H$3:$I$4,2,FALSE)*F70)</f>
        <v/>
      </c>
      <c r="G73" s="24">
        <f>IF($A73="","",Mandays*VLOOKUP($A73,Lists!$H$3:$I$4,2,FALSE)*G70)</f>
        <v/>
      </c>
      <c r="H73" s="24">
        <f>IF($A73="","",Mandays*VLOOKUP($A73,Lists!$H$3:$I$4,2,FALSE)*H70)</f>
        <v/>
      </c>
      <c r="I73" s="24">
        <f>IF($A73="","",Mandays*VLOOKUP($A73,Lists!$H$3:$I$4,2,FALSE)*I70)</f>
        <v/>
      </c>
      <c r="J73" s="24">
        <f>IF($A73="","",Mandays*VLOOKUP($A73,Lists!$H$3:$I$4,2,FALSE)*J70)</f>
        <v/>
      </c>
      <c r="K73" s="24">
        <f>IF($A73="","",Mandays*VLOOKUP($A73,Lists!$H$3:$I$4,2,FALSE)*K70)</f>
        <v/>
      </c>
      <c r="L73" s="24">
        <f>IF($A73="","",Mandays*VLOOKUP($A73,Lists!$H$3:$I$4,2,FALSE)*L70)</f>
        <v/>
      </c>
      <c r="M73" s="24">
        <f>IF($A73="","",Mandays*VLOOKUP($A73,Lists!$H$3:$I$4,2,FALSE)*M70)</f>
        <v/>
      </c>
      <c r="N73" s="24">
        <f>SUM(B73:M73)</f>
        <v/>
      </c>
    </row>
    <row r="74">
      <c r="A74" s="23">
        <f>IF(Projects!A8="","",Projects!A8)</f>
        <v/>
      </c>
      <c r="B74" s="24">
        <f>IF($A74="","",Mandays*VLOOKUP($A74,Lists!$H$3:$I$4,2,FALSE)*B70)</f>
        <v/>
      </c>
      <c r="C74" s="24">
        <f>IF($A74="","",Mandays*VLOOKUP($A74,Lists!$H$3:$I$4,2,FALSE)*C70)</f>
        <v/>
      </c>
      <c r="D74" s="24">
        <f>IF($A74="","",Mandays*VLOOKUP($A74,Lists!$H$3:$I$4,2,FALSE)*D70)</f>
        <v/>
      </c>
      <c r="E74" s="24">
        <f>IF($A74="","",Mandays*VLOOKUP($A74,Lists!$H$3:$I$4,2,FALSE)*E70)</f>
        <v/>
      </c>
      <c r="F74" s="24">
        <f>IF($A74="","",Mandays*VLOOKUP($A74,Lists!$H$3:$I$4,2,FALSE)*F70)</f>
        <v/>
      </c>
      <c r="G74" s="24">
        <f>IF($A74="","",Mandays*VLOOKUP($A74,Lists!$H$3:$I$4,2,FALSE)*G70)</f>
        <v/>
      </c>
      <c r="H74" s="24">
        <f>IF($A74="","",Mandays*VLOOKUP($A74,Lists!$H$3:$I$4,2,FALSE)*H70)</f>
        <v/>
      </c>
      <c r="I74" s="24">
        <f>IF($A74="","",Mandays*VLOOKUP($A74,Lists!$H$3:$I$4,2,FALSE)*I70)</f>
        <v/>
      </c>
      <c r="J74" s="24">
        <f>IF($A74="","",Mandays*VLOOKUP($A74,Lists!$H$3:$I$4,2,FALSE)*J70)</f>
        <v/>
      </c>
      <c r="K74" s="24">
        <f>IF($A74="","",Mandays*VLOOKUP($A74,Lists!$H$3:$I$4,2,FALSE)*K70)</f>
        <v/>
      </c>
      <c r="L74" s="24">
        <f>IF($A74="","",Mandays*VLOOKUP($A74,Lists!$H$3:$I$4,2,FALSE)*L70)</f>
        <v/>
      </c>
      <c r="M74" s="24">
        <f>IF($A74="","",Mandays*VLOOKUP($A74,Lists!$H$3:$I$4,2,FALSE)*M70)</f>
        <v/>
      </c>
      <c r="N74" s="24">
        <f>SUM(B74:M74)</f>
        <v/>
      </c>
    </row>
    <row r="75">
      <c r="A75" s="23">
        <f>IF(Projects!A9="","",Projects!A9)</f>
        <v/>
      </c>
      <c r="B75" s="24">
        <f>IF($A75="","",Mandays*VLOOKUP($A75,Lists!$H$3:$I$4,2,FALSE)*B70)</f>
        <v/>
      </c>
      <c r="C75" s="24">
        <f>IF($A75="","",Mandays*VLOOKUP($A75,Lists!$H$3:$I$4,2,FALSE)*C70)</f>
        <v/>
      </c>
      <c r="D75" s="24">
        <f>IF($A75="","",Mandays*VLOOKUP($A75,Lists!$H$3:$I$4,2,FALSE)*D70)</f>
        <v/>
      </c>
      <c r="E75" s="24">
        <f>IF($A75="","",Mandays*VLOOKUP($A75,Lists!$H$3:$I$4,2,FALSE)*E70)</f>
        <v/>
      </c>
      <c r="F75" s="24">
        <f>IF($A75="","",Mandays*VLOOKUP($A75,Lists!$H$3:$I$4,2,FALSE)*F70)</f>
        <v/>
      </c>
      <c r="G75" s="24">
        <f>IF($A75="","",Mandays*VLOOKUP($A75,Lists!$H$3:$I$4,2,FALSE)*G70)</f>
        <v/>
      </c>
      <c r="H75" s="24">
        <f>IF($A75="","",Mandays*VLOOKUP($A75,Lists!$H$3:$I$4,2,FALSE)*H70)</f>
        <v/>
      </c>
      <c r="I75" s="24">
        <f>IF($A75="","",Mandays*VLOOKUP($A75,Lists!$H$3:$I$4,2,FALSE)*I70)</f>
        <v/>
      </c>
      <c r="J75" s="24">
        <f>IF($A75="","",Mandays*VLOOKUP($A75,Lists!$H$3:$I$4,2,FALSE)*J70)</f>
        <v/>
      </c>
      <c r="K75" s="24">
        <f>IF($A75="","",Mandays*VLOOKUP($A75,Lists!$H$3:$I$4,2,FALSE)*K70)</f>
        <v/>
      </c>
      <c r="L75" s="24">
        <f>IF($A75="","",Mandays*VLOOKUP($A75,Lists!$H$3:$I$4,2,FALSE)*L70)</f>
        <v/>
      </c>
      <c r="M75" s="24">
        <f>IF($A75="","",Mandays*VLOOKUP($A75,Lists!$H$3:$I$4,2,FALSE)*M70)</f>
        <v/>
      </c>
      <c r="N75" s="24">
        <f>SUM(B75:M75)</f>
        <v/>
      </c>
    </row>
    <row r="76">
      <c r="A76" s="23">
        <f>IF(Projects!A10="","",Projects!A10)</f>
        <v/>
      </c>
      <c r="B76" s="24">
        <f>IF($A76="","",Mandays*VLOOKUP($A76,Lists!$H$3:$I$4,2,FALSE)*B70)</f>
        <v/>
      </c>
      <c r="C76" s="24">
        <f>IF($A76="","",Mandays*VLOOKUP($A76,Lists!$H$3:$I$4,2,FALSE)*C70)</f>
        <v/>
      </c>
      <c r="D76" s="24">
        <f>IF($A76="","",Mandays*VLOOKUP($A76,Lists!$H$3:$I$4,2,FALSE)*D70)</f>
        <v/>
      </c>
      <c r="E76" s="24">
        <f>IF($A76="","",Mandays*VLOOKUP($A76,Lists!$H$3:$I$4,2,FALSE)*E70)</f>
        <v/>
      </c>
      <c r="F76" s="24">
        <f>IF($A76="","",Mandays*VLOOKUP($A76,Lists!$H$3:$I$4,2,FALSE)*F70)</f>
        <v/>
      </c>
      <c r="G76" s="24">
        <f>IF($A76="","",Mandays*VLOOKUP($A76,Lists!$H$3:$I$4,2,FALSE)*G70)</f>
        <v/>
      </c>
      <c r="H76" s="24">
        <f>IF($A76="","",Mandays*VLOOKUP($A76,Lists!$H$3:$I$4,2,FALSE)*H70)</f>
        <v/>
      </c>
      <c r="I76" s="24">
        <f>IF($A76="","",Mandays*VLOOKUP($A76,Lists!$H$3:$I$4,2,FALSE)*I70)</f>
        <v/>
      </c>
      <c r="J76" s="24">
        <f>IF($A76="","",Mandays*VLOOKUP($A76,Lists!$H$3:$I$4,2,FALSE)*J70)</f>
        <v/>
      </c>
      <c r="K76" s="24">
        <f>IF($A76="","",Mandays*VLOOKUP($A76,Lists!$H$3:$I$4,2,FALSE)*K70)</f>
        <v/>
      </c>
      <c r="L76" s="24">
        <f>IF($A76="","",Mandays*VLOOKUP($A76,Lists!$H$3:$I$4,2,FALSE)*L70)</f>
        <v/>
      </c>
      <c r="M76" s="24">
        <f>IF($A76="","",Mandays*VLOOKUP($A76,Lists!$H$3:$I$4,2,FALSE)*M70)</f>
        <v/>
      </c>
      <c r="N76" s="24">
        <f>SUM(B76:M76)</f>
        <v/>
      </c>
    </row>
    <row r="77">
      <c r="A77" s="23">
        <f>IF(Projects!A11="","",Projects!A11)</f>
        <v/>
      </c>
      <c r="B77" s="24">
        <f>IF($A77="","",Mandays*VLOOKUP($A77,Lists!$H$3:$I$4,2,FALSE)*B70)</f>
        <v/>
      </c>
      <c r="C77" s="24">
        <f>IF($A77="","",Mandays*VLOOKUP($A77,Lists!$H$3:$I$4,2,FALSE)*C70)</f>
        <v/>
      </c>
      <c r="D77" s="24">
        <f>IF($A77="","",Mandays*VLOOKUP($A77,Lists!$H$3:$I$4,2,FALSE)*D70)</f>
        <v/>
      </c>
      <c r="E77" s="24">
        <f>IF($A77="","",Mandays*VLOOKUP($A77,Lists!$H$3:$I$4,2,FALSE)*E70)</f>
        <v/>
      </c>
      <c r="F77" s="24">
        <f>IF($A77="","",Mandays*VLOOKUP($A77,Lists!$H$3:$I$4,2,FALSE)*F70)</f>
        <v/>
      </c>
      <c r="G77" s="24">
        <f>IF($A77="","",Mandays*VLOOKUP($A77,Lists!$H$3:$I$4,2,FALSE)*G70)</f>
        <v/>
      </c>
      <c r="H77" s="24">
        <f>IF($A77="","",Mandays*VLOOKUP($A77,Lists!$H$3:$I$4,2,FALSE)*H70)</f>
        <v/>
      </c>
      <c r="I77" s="24">
        <f>IF($A77="","",Mandays*VLOOKUP($A77,Lists!$H$3:$I$4,2,FALSE)*I70)</f>
        <v/>
      </c>
      <c r="J77" s="24">
        <f>IF($A77="","",Mandays*VLOOKUP($A77,Lists!$H$3:$I$4,2,FALSE)*J70)</f>
        <v/>
      </c>
      <c r="K77" s="24">
        <f>IF($A77="","",Mandays*VLOOKUP($A77,Lists!$H$3:$I$4,2,FALSE)*K70)</f>
        <v/>
      </c>
      <c r="L77" s="24">
        <f>IF($A77="","",Mandays*VLOOKUP($A77,Lists!$H$3:$I$4,2,FALSE)*L70)</f>
        <v/>
      </c>
      <c r="M77" s="24">
        <f>IF($A77="","",Mandays*VLOOKUP($A77,Lists!$H$3:$I$4,2,FALSE)*M70)</f>
        <v/>
      </c>
      <c r="N77" s="24">
        <f>SUM(B77:M77)</f>
        <v/>
      </c>
    </row>
    <row r="78">
      <c r="A78" s="23">
        <f>IF(Projects!A12="","",Projects!A12)</f>
        <v/>
      </c>
      <c r="B78" s="24">
        <f>IF($A78="","",Mandays*VLOOKUP($A78,Lists!$H$3:$I$4,2,FALSE)*B70)</f>
        <v/>
      </c>
      <c r="C78" s="24">
        <f>IF($A78="","",Mandays*VLOOKUP($A78,Lists!$H$3:$I$4,2,FALSE)*C70)</f>
        <v/>
      </c>
      <c r="D78" s="24">
        <f>IF($A78="","",Mandays*VLOOKUP($A78,Lists!$H$3:$I$4,2,FALSE)*D70)</f>
        <v/>
      </c>
      <c r="E78" s="24">
        <f>IF($A78="","",Mandays*VLOOKUP($A78,Lists!$H$3:$I$4,2,FALSE)*E70)</f>
        <v/>
      </c>
      <c r="F78" s="24">
        <f>IF($A78="","",Mandays*VLOOKUP($A78,Lists!$H$3:$I$4,2,FALSE)*F70)</f>
        <v/>
      </c>
      <c r="G78" s="24">
        <f>IF($A78="","",Mandays*VLOOKUP($A78,Lists!$H$3:$I$4,2,FALSE)*G70)</f>
        <v/>
      </c>
      <c r="H78" s="24">
        <f>IF($A78="","",Mandays*VLOOKUP($A78,Lists!$H$3:$I$4,2,FALSE)*H70)</f>
        <v/>
      </c>
      <c r="I78" s="24">
        <f>IF($A78="","",Mandays*VLOOKUP($A78,Lists!$H$3:$I$4,2,FALSE)*I70)</f>
        <v/>
      </c>
      <c r="J78" s="24">
        <f>IF($A78="","",Mandays*VLOOKUP($A78,Lists!$H$3:$I$4,2,FALSE)*J70)</f>
        <v/>
      </c>
      <c r="K78" s="24">
        <f>IF($A78="","",Mandays*VLOOKUP($A78,Lists!$H$3:$I$4,2,FALSE)*K70)</f>
        <v/>
      </c>
      <c r="L78" s="24">
        <f>IF($A78="","",Mandays*VLOOKUP($A78,Lists!$H$3:$I$4,2,FALSE)*L70)</f>
        <v/>
      </c>
      <c r="M78" s="24">
        <f>IF($A78="","",Mandays*VLOOKUP($A78,Lists!$H$3:$I$4,2,FALSE)*M70)</f>
        <v/>
      </c>
      <c r="N78" s="24">
        <f>SUM(B78:M78)</f>
        <v/>
      </c>
    </row>
    <row r="79">
      <c r="A79" s="23">
        <f>IF(Projects!A13="","",Projects!A13)</f>
        <v/>
      </c>
      <c r="B79" s="24">
        <f>IF($A79="","",Mandays*VLOOKUP($A79,Lists!$H$3:$I$4,2,FALSE)*B70)</f>
        <v/>
      </c>
      <c r="C79" s="24">
        <f>IF($A79="","",Mandays*VLOOKUP($A79,Lists!$H$3:$I$4,2,FALSE)*C70)</f>
        <v/>
      </c>
      <c r="D79" s="24">
        <f>IF($A79="","",Mandays*VLOOKUP($A79,Lists!$H$3:$I$4,2,FALSE)*D70)</f>
        <v/>
      </c>
      <c r="E79" s="24">
        <f>IF($A79="","",Mandays*VLOOKUP($A79,Lists!$H$3:$I$4,2,FALSE)*E70)</f>
        <v/>
      </c>
      <c r="F79" s="24">
        <f>IF($A79="","",Mandays*VLOOKUP($A79,Lists!$H$3:$I$4,2,FALSE)*F70)</f>
        <v/>
      </c>
      <c r="G79" s="24">
        <f>IF($A79="","",Mandays*VLOOKUP($A79,Lists!$H$3:$I$4,2,FALSE)*G70)</f>
        <v/>
      </c>
      <c r="H79" s="24">
        <f>IF($A79="","",Mandays*VLOOKUP($A79,Lists!$H$3:$I$4,2,FALSE)*H70)</f>
        <v/>
      </c>
      <c r="I79" s="24">
        <f>IF($A79="","",Mandays*VLOOKUP($A79,Lists!$H$3:$I$4,2,FALSE)*I70)</f>
        <v/>
      </c>
      <c r="J79" s="24">
        <f>IF($A79="","",Mandays*VLOOKUP($A79,Lists!$H$3:$I$4,2,FALSE)*J70)</f>
        <v/>
      </c>
      <c r="K79" s="24">
        <f>IF($A79="","",Mandays*VLOOKUP($A79,Lists!$H$3:$I$4,2,FALSE)*K70)</f>
        <v/>
      </c>
      <c r="L79" s="24">
        <f>IF($A79="","",Mandays*VLOOKUP($A79,Lists!$H$3:$I$4,2,FALSE)*L70)</f>
        <v/>
      </c>
      <c r="M79" s="24">
        <f>IF($A79="","",Mandays*VLOOKUP($A79,Lists!$H$3:$I$4,2,FALSE)*M70)</f>
        <v/>
      </c>
      <c r="N79" s="24">
        <f>SUM(B79:M79)</f>
        <v/>
      </c>
    </row>
    <row r="80">
      <c r="A80" s="23">
        <f>IF(Projects!A14="","",Projects!A14)</f>
        <v/>
      </c>
      <c r="B80" s="24">
        <f>IF($A80="","",Mandays*VLOOKUP($A80,Lists!$H$3:$I$4,2,FALSE)*B70)</f>
        <v/>
      </c>
      <c r="C80" s="24">
        <f>IF($A80="","",Mandays*VLOOKUP($A80,Lists!$H$3:$I$4,2,FALSE)*C70)</f>
        <v/>
      </c>
      <c r="D80" s="24">
        <f>IF($A80="","",Mandays*VLOOKUP($A80,Lists!$H$3:$I$4,2,FALSE)*D70)</f>
        <v/>
      </c>
      <c r="E80" s="24">
        <f>IF($A80="","",Mandays*VLOOKUP($A80,Lists!$H$3:$I$4,2,FALSE)*E70)</f>
        <v/>
      </c>
      <c r="F80" s="24">
        <f>IF($A80="","",Mandays*VLOOKUP($A80,Lists!$H$3:$I$4,2,FALSE)*F70)</f>
        <v/>
      </c>
      <c r="G80" s="24">
        <f>IF($A80="","",Mandays*VLOOKUP($A80,Lists!$H$3:$I$4,2,FALSE)*G70)</f>
        <v/>
      </c>
      <c r="H80" s="24">
        <f>IF($A80="","",Mandays*VLOOKUP($A80,Lists!$H$3:$I$4,2,FALSE)*H70)</f>
        <v/>
      </c>
      <c r="I80" s="24">
        <f>IF($A80="","",Mandays*VLOOKUP($A80,Lists!$H$3:$I$4,2,FALSE)*I70)</f>
        <v/>
      </c>
      <c r="J80" s="24">
        <f>IF($A80="","",Mandays*VLOOKUP($A80,Lists!$H$3:$I$4,2,FALSE)*J70)</f>
        <v/>
      </c>
      <c r="K80" s="24">
        <f>IF($A80="","",Mandays*VLOOKUP($A80,Lists!$H$3:$I$4,2,FALSE)*K70)</f>
        <v/>
      </c>
      <c r="L80" s="24">
        <f>IF($A80="","",Mandays*VLOOKUP($A80,Lists!$H$3:$I$4,2,FALSE)*L70)</f>
        <v/>
      </c>
      <c r="M80" s="24">
        <f>IF($A80="","",Mandays*VLOOKUP($A80,Lists!$H$3:$I$4,2,FALSE)*M70)</f>
        <v/>
      </c>
      <c r="N80" s="24">
        <f>SUM(B80:M80)</f>
        <v/>
      </c>
    </row>
    <row r="81">
      <c r="A81" s="23">
        <f>IF(Projects!A15="","",Projects!A15)</f>
        <v/>
      </c>
      <c r="B81" s="24">
        <f>IF($A81="","",Mandays*VLOOKUP($A81,Lists!$H$3:$I$4,2,FALSE)*B70)</f>
        <v/>
      </c>
      <c r="C81" s="24">
        <f>IF($A81="","",Mandays*VLOOKUP($A81,Lists!$H$3:$I$4,2,FALSE)*C70)</f>
        <v/>
      </c>
      <c r="D81" s="24">
        <f>IF($A81="","",Mandays*VLOOKUP($A81,Lists!$H$3:$I$4,2,FALSE)*D70)</f>
        <v/>
      </c>
      <c r="E81" s="24">
        <f>IF($A81="","",Mandays*VLOOKUP($A81,Lists!$H$3:$I$4,2,FALSE)*E70)</f>
        <v/>
      </c>
      <c r="F81" s="24">
        <f>IF($A81="","",Mandays*VLOOKUP($A81,Lists!$H$3:$I$4,2,FALSE)*F70)</f>
        <v/>
      </c>
      <c r="G81" s="24">
        <f>IF($A81="","",Mandays*VLOOKUP($A81,Lists!$H$3:$I$4,2,FALSE)*G70)</f>
        <v/>
      </c>
      <c r="H81" s="24">
        <f>IF($A81="","",Mandays*VLOOKUP($A81,Lists!$H$3:$I$4,2,FALSE)*H70)</f>
        <v/>
      </c>
      <c r="I81" s="24">
        <f>IF($A81="","",Mandays*VLOOKUP($A81,Lists!$H$3:$I$4,2,FALSE)*I70)</f>
        <v/>
      </c>
      <c r="J81" s="24">
        <f>IF($A81="","",Mandays*VLOOKUP($A81,Lists!$H$3:$I$4,2,FALSE)*J70)</f>
        <v/>
      </c>
      <c r="K81" s="24">
        <f>IF($A81="","",Mandays*VLOOKUP($A81,Lists!$H$3:$I$4,2,FALSE)*K70)</f>
        <v/>
      </c>
      <c r="L81" s="24">
        <f>IF($A81="","",Mandays*VLOOKUP($A81,Lists!$H$3:$I$4,2,FALSE)*L70)</f>
        <v/>
      </c>
      <c r="M81" s="24">
        <f>IF($A81="","",Mandays*VLOOKUP($A81,Lists!$H$3:$I$4,2,FALSE)*M70)</f>
        <v/>
      </c>
      <c r="N81" s="24">
        <f>SUM(B81:M81)</f>
        <v/>
      </c>
    </row>
    <row r="82">
      <c r="A82" s="23">
        <f>IF(Projects!A16="","",Projects!A16)</f>
        <v/>
      </c>
      <c r="B82" s="24">
        <f>IF($A82="","",Mandays*VLOOKUP($A82,Lists!$H$3:$I$4,2,FALSE)*B70)</f>
        <v/>
      </c>
      <c r="C82" s="24">
        <f>IF($A82="","",Mandays*VLOOKUP($A82,Lists!$H$3:$I$4,2,FALSE)*C70)</f>
        <v/>
      </c>
      <c r="D82" s="24">
        <f>IF($A82="","",Mandays*VLOOKUP($A82,Lists!$H$3:$I$4,2,FALSE)*D70)</f>
        <v/>
      </c>
      <c r="E82" s="24">
        <f>IF($A82="","",Mandays*VLOOKUP($A82,Lists!$H$3:$I$4,2,FALSE)*E70)</f>
        <v/>
      </c>
      <c r="F82" s="24">
        <f>IF($A82="","",Mandays*VLOOKUP($A82,Lists!$H$3:$I$4,2,FALSE)*F70)</f>
        <v/>
      </c>
      <c r="G82" s="24">
        <f>IF($A82="","",Mandays*VLOOKUP($A82,Lists!$H$3:$I$4,2,FALSE)*G70)</f>
        <v/>
      </c>
      <c r="H82" s="24">
        <f>IF($A82="","",Mandays*VLOOKUP($A82,Lists!$H$3:$I$4,2,FALSE)*H70)</f>
        <v/>
      </c>
      <c r="I82" s="24">
        <f>IF($A82="","",Mandays*VLOOKUP($A82,Lists!$H$3:$I$4,2,FALSE)*I70)</f>
        <v/>
      </c>
      <c r="J82" s="24">
        <f>IF($A82="","",Mandays*VLOOKUP($A82,Lists!$H$3:$I$4,2,FALSE)*J70)</f>
        <v/>
      </c>
      <c r="K82" s="24">
        <f>IF($A82="","",Mandays*VLOOKUP($A82,Lists!$H$3:$I$4,2,FALSE)*K70)</f>
        <v/>
      </c>
      <c r="L82" s="24">
        <f>IF($A82="","",Mandays*VLOOKUP($A82,Lists!$H$3:$I$4,2,FALSE)*L70)</f>
        <v/>
      </c>
      <c r="M82" s="24">
        <f>IF($A82="","",Mandays*VLOOKUP($A82,Lists!$H$3:$I$4,2,FALSE)*M70)</f>
        <v/>
      </c>
      <c r="N82" s="24">
        <f>SUM(B82:M82)</f>
        <v/>
      </c>
    </row>
    <row r="83">
      <c r="A83" s="23">
        <f>IF(Projects!A17="","",Projects!A17)</f>
        <v/>
      </c>
      <c r="B83" s="24">
        <f>IF($A83="","",Mandays*VLOOKUP($A83,Lists!$H$3:$I$4,2,FALSE)*B70)</f>
        <v/>
      </c>
      <c r="C83" s="24">
        <f>IF($A83="","",Mandays*VLOOKUP($A83,Lists!$H$3:$I$4,2,FALSE)*C70)</f>
        <v/>
      </c>
      <c r="D83" s="24">
        <f>IF($A83="","",Mandays*VLOOKUP($A83,Lists!$H$3:$I$4,2,FALSE)*D70)</f>
        <v/>
      </c>
      <c r="E83" s="24">
        <f>IF($A83="","",Mandays*VLOOKUP($A83,Lists!$H$3:$I$4,2,FALSE)*E70)</f>
        <v/>
      </c>
      <c r="F83" s="24">
        <f>IF($A83="","",Mandays*VLOOKUP($A83,Lists!$H$3:$I$4,2,FALSE)*F70)</f>
        <v/>
      </c>
      <c r="G83" s="24">
        <f>IF($A83="","",Mandays*VLOOKUP($A83,Lists!$H$3:$I$4,2,FALSE)*G70)</f>
        <v/>
      </c>
      <c r="H83" s="24">
        <f>IF($A83="","",Mandays*VLOOKUP($A83,Lists!$H$3:$I$4,2,FALSE)*H70)</f>
        <v/>
      </c>
      <c r="I83" s="24">
        <f>IF($A83="","",Mandays*VLOOKUP($A83,Lists!$H$3:$I$4,2,FALSE)*I70)</f>
        <v/>
      </c>
      <c r="J83" s="24">
        <f>IF($A83="","",Mandays*VLOOKUP($A83,Lists!$H$3:$I$4,2,FALSE)*J70)</f>
        <v/>
      </c>
      <c r="K83" s="24">
        <f>IF($A83="","",Mandays*VLOOKUP($A83,Lists!$H$3:$I$4,2,FALSE)*K70)</f>
        <v/>
      </c>
      <c r="L83" s="24">
        <f>IF($A83="","",Mandays*VLOOKUP($A83,Lists!$H$3:$I$4,2,FALSE)*L70)</f>
        <v/>
      </c>
      <c r="M83" s="24">
        <f>IF($A83="","",Mandays*VLOOKUP($A83,Lists!$H$3:$I$4,2,FALSE)*M70)</f>
        <v/>
      </c>
      <c r="N83" s="24">
        <f>SUM(B83:M83)</f>
        <v/>
      </c>
    </row>
    <row r="84">
      <c r="A84" s="23">
        <f>IF(Projects!A18="","",Projects!A18)</f>
        <v/>
      </c>
      <c r="B84" s="24">
        <f>IF($A84="","",Mandays*VLOOKUP($A84,Lists!$H$3:$I$4,2,FALSE)*B70)</f>
        <v/>
      </c>
      <c r="C84" s="24">
        <f>IF($A84="","",Mandays*VLOOKUP($A84,Lists!$H$3:$I$4,2,FALSE)*C70)</f>
        <v/>
      </c>
      <c r="D84" s="24">
        <f>IF($A84="","",Mandays*VLOOKUP($A84,Lists!$H$3:$I$4,2,FALSE)*D70)</f>
        <v/>
      </c>
      <c r="E84" s="24">
        <f>IF($A84="","",Mandays*VLOOKUP($A84,Lists!$H$3:$I$4,2,FALSE)*E70)</f>
        <v/>
      </c>
      <c r="F84" s="24">
        <f>IF($A84="","",Mandays*VLOOKUP($A84,Lists!$H$3:$I$4,2,FALSE)*F70)</f>
        <v/>
      </c>
      <c r="G84" s="24">
        <f>IF($A84="","",Mandays*VLOOKUP($A84,Lists!$H$3:$I$4,2,FALSE)*G70)</f>
        <v/>
      </c>
      <c r="H84" s="24">
        <f>IF($A84="","",Mandays*VLOOKUP($A84,Lists!$H$3:$I$4,2,FALSE)*H70)</f>
        <v/>
      </c>
      <c r="I84" s="24">
        <f>IF($A84="","",Mandays*VLOOKUP($A84,Lists!$H$3:$I$4,2,FALSE)*I70)</f>
        <v/>
      </c>
      <c r="J84" s="24">
        <f>IF($A84="","",Mandays*VLOOKUP($A84,Lists!$H$3:$I$4,2,FALSE)*J70)</f>
        <v/>
      </c>
      <c r="K84" s="24">
        <f>IF($A84="","",Mandays*VLOOKUP($A84,Lists!$H$3:$I$4,2,FALSE)*K70)</f>
        <v/>
      </c>
      <c r="L84" s="24">
        <f>IF($A84="","",Mandays*VLOOKUP($A84,Lists!$H$3:$I$4,2,FALSE)*L70)</f>
        <v/>
      </c>
      <c r="M84" s="24">
        <f>IF($A84="","",Mandays*VLOOKUP($A84,Lists!$H$3:$I$4,2,FALSE)*M70)</f>
        <v/>
      </c>
      <c r="N84" s="24">
        <f>SUM(B84:M84)</f>
        <v/>
      </c>
    </row>
    <row r="85">
      <c r="A85" s="23">
        <f>IF(Projects!A19="","",Projects!A19)</f>
        <v/>
      </c>
      <c r="B85" s="24">
        <f>IF($A85="","",Mandays*VLOOKUP($A85,Lists!$H$3:$I$4,2,FALSE)*B70)</f>
        <v/>
      </c>
      <c r="C85" s="24">
        <f>IF($A85="","",Mandays*VLOOKUP($A85,Lists!$H$3:$I$4,2,FALSE)*C70)</f>
        <v/>
      </c>
      <c r="D85" s="24">
        <f>IF($A85="","",Mandays*VLOOKUP($A85,Lists!$H$3:$I$4,2,FALSE)*D70)</f>
        <v/>
      </c>
      <c r="E85" s="24">
        <f>IF($A85="","",Mandays*VLOOKUP($A85,Lists!$H$3:$I$4,2,FALSE)*E70)</f>
        <v/>
      </c>
      <c r="F85" s="24">
        <f>IF($A85="","",Mandays*VLOOKUP($A85,Lists!$H$3:$I$4,2,FALSE)*F70)</f>
        <v/>
      </c>
      <c r="G85" s="24">
        <f>IF($A85="","",Mandays*VLOOKUP($A85,Lists!$H$3:$I$4,2,FALSE)*G70)</f>
        <v/>
      </c>
      <c r="H85" s="24">
        <f>IF($A85="","",Mandays*VLOOKUP($A85,Lists!$H$3:$I$4,2,FALSE)*H70)</f>
        <v/>
      </c>
      <c r="I85" s="24">
        <f>IF($A85="","",Mandays*VLOOKUP($A85,Lists!$H$3:$I$4,2,FALSE)*I70)</f>
        <v/>
      </c>
      <c r="J85" s="24">
        <f>IF($A85="","",Mandays*VLOOKUP($A85,Lists!$H$3:$I$4,2,FALSE)*J70)</f>
        <v/>
      </c>
      <c r="K85" s="24">
        <f>IF($A85="","",Mandays*VLOOKUP($A85,Lists!$H$3:$I$4,2,FALSE)*K70)</f>
        <v/>
      </c>
      <c r="L85" s="24">
        <f>IF($A85="","",Mandays*VLOOKUP($A85,Lists!$H$3:$I$4,2,FALSE)*L70)</f>
        <v/>
      </c>
      <c r="M85" s="24">
        <f>IF($A85="","",Mandays*VLOOKUP($A85,Lists!$H$3:$I$4,2,FALSE)*M70)</f>
        <v/>
      </c>
      <c r="N85" s="24">
        <f>SUM(B85:M85)</f>
        <v/>
      </c>
    </row>
    <row r="86">
      <c r="A86" s="23">
        <f>IF(Projects!A20="","",Projects!A20)</f>
        <v/>
      </c>
      <c r="B86" s="24">
        <f>IF($A86="","",Mandays*VLOOKUP($A86,Lists!$H$3:$I$4,2,FALSE)*B70)</f>
        <v/>
      </c>
      <c r="C86" s="24">
        <f>IF($A86="","",Mandays*VLOOKUP($A86,Lists!$H$3:$I$4,2,FALSE)*C70)</f>
        <v/>
      </c>
      <c r="D86" s="24">
        <f>IF($A86="","",Mandays*VLOOKUP($A86,Lists!$H$3:$I$4,2,FALSE)*D70)</f>
        <v/>
      </c>
      <c r="E86" s="24">
        <f>IF($A86="","",Mandays*VLOOKUP($A86,Lists!$H$3:$I$4,2,FALSE)*E70)</f>
        <v/>
      </c>
      <c r="F86" s="24">
        <f>IF($A86="","",Mandays*VLOOKUP($A86,Lists!$H$3:$I$4,2,FALSE)*F70)</f>
        <v/>
      </c>
      <c r="G86" s="24">
        <f>IF($A86="","",Mandays*VLOOKUP($A86,Lists!$H$3:$I$4,2,FALSE)*G70)</f>
        <v/>
      </c>
      <c r="H86" s="24">
        <f>IF($A86="","",Mandays*VLOOKUP($A86,Lists!$H$3:$I$4,2,FALSE)*H70)</f>
        <v/>
      </c>
      <c r="I86" s="24">
        <f>IF($A86="","",Mandays*VLOOKUP($A86,Lists!$H$3:$I$4,2,FALSE)*I70)</f>
        <v/>
      </c>
      <c r="J86" s="24">
        <f>IF($A86="","",Mandays*VLOOKUP($A86,Lists!$H$3:$I$4,2,FALSE)*J70)</f>
        <v/>
      </c>
      <c r="K86" s="24">
        <f>IF($A86="","",Mandays*VLOOKUP($A86,Lists!$H$3:$I$4,2,FALSE)*K70)</f>
        <v/>
      </c>
      <c r="L86" s="24">
        <f>IF($A86="","",Mandays*VLOOKUP($A86,Lists!$H$3:$I$4,2,FALSE)*L70)</f>
        <v/>
      </c>
      <c r="M86" s="24">
        <f>IF($A86="","",Mandays*VLOOKUP($A86,Lists!$H$3:$I$4,2,FALSE)*M70)</f>
        <v/>
      </c>
      <c r="N86" s="24">
        <f>SUM(B86:M86)</f>
        <v/>
      </c>
    </row>
    <row r="87">
      <c r="A87" s="23">
        <f>IF(Projects!A21="","",Projects!A21)</f>
        <v/>
      </c>
      <c r="B87" s="24">
        <f>IF($A87="","",Mandays*VLOOKUP($A87,Lists!$H$3:$I$4,2,FALSE)*B70)</f>
        <v/>
      </c>
      <c r="C87" s="24">
        <f>IF($A87="","",Mandays*VLOOKUP($A87,Lists!$H$3:$I$4,2,FALSE)*C70)</f>
        <v/>
      </c>
      <c r="D87" s="24">
        <f>IF($A87="","",Mandays*VLOOKUP($A87,Lists!$H$3:$I$4,2,FALSE)*D70)</f>
        <v/>
      </c>
      <c r="E87" s="24">
        <f>IF($A87="","",Mandays*VLOOKUP($A87,Lists!$H$3:$I$4,2,FALSE)*E70)</f>
        <v/>
      </c>
      <c r="F87" s="24">
        <f>IF($A87="","",Mandays*VLOOKUP($A87,Lists!$H$3:$I$4,2,FALSE)*F70)</f>
        <v/>
      </c>
      <c r="G87" s="24">
        <f>IF($A87="","",Mandays*VLOOKUP($A87,Lists!$H$3:$I$4,2,FALSE)*G70)</f>
        <v/>
      </c>
      <c r="H87" s="24">
        <f>IF($A87="","",Mandays*VLOOKUP($A87,Lists!$H$3:$I$4,2,FALSE)*H70)</f>
        <v/>
      </c>
      <c r="I87" s="24">
        <f>IF($A87="","",Mandays*VLOOKUP($A87,Lists!$H$3:$I$4,2,FALSE)*I70)</f>
        <v/>
      </c>
      <c r="J87" s="24">
        <f>IF($A87="","",Mandays*VLOOKUP($A87,Lists!$H$3:$I$4,2,FALSE)*J70)</f>
        <v/>
      </c>
      <c r="K87" s="24">
        <f>IF($A87="","",Mandays*VLOOKUP($A87,Lists!$H$3:$I$4,2,FALSE)*K70)</f>
        <v/>
      </c>
      <c r="L87" s="24">
        <f>IF($A87="","",Mandays*VLOOKUP($A87,Lists!$H$3:$I$4,2,FALSE)*L70)</f>
        <v/>
      </c>
      <c r="M87" s="24">
        <f>IF($A87="","",Mandays*VLOOKUP($A87,Lists!$H$3:$I$4,2,FALSE)*M70)</f>
        <v/>
      </c>
      <c r="N87" s="24">
        <f>SUM(B87:M87)</f>
        <v/>
      </c>
    </row>
    <row r="88">
      <c r="A88" s="23" t="inlineStr">
        <is>
          <t>TOTAL (all projects)</t>
        </is>
      </c>
      <c r="B88" s="24">
        <f>IF($A88="","",Mandays*VLOOKUP($A88,Lists!$H$3:$I$4,2,FALSE)*B70)</f>
        <v/>
      </c>
      <c r="C88" s="24">
        <f>IF($A88="","",Mandays*VLOOKUP($A88,Lists!$H$3:$I$4,2,FALSE)*C70)</f>
        <v/>
      </c>
      <c r="D88" s="24">
        <f>IF($A88="","",Mandays*VLOOKUP($A88,Lists!$H$3:$I$4,2,FALSE)*D70)</f>
        <v/>
      </c>
      <c r="E88" s="24">
        <f>IF($A88="","",Mandays*VLOOKUP($A88,Lists!$H$3:$I$4,2,FALSE)*E70)</f>
        <v/>
      </c>
      <c r="F88" s="24">
        <f>IF($A88="","",Mandays*VLOOKUP($A88,Lists!$H$3:$I$4,2,FALSE)*F70)</f>
        <v/>
      </c>
      <c r="G88" s="24">
        <f>IF($A88="","",Mandays*VLOOKUP($A88,Lists!$H$3:$I$4,2,FALSE)*G70)</f>
        <v/>
      </c>
      <c r="H88" s="24">
        <f>IF($A88="","",Mandays*VLOOKUP($A88,Lists!$H$3:$I$4,2,FALSE)*H70)</f>
        <v/>
      </c>
      <c r="I88" s="24">
        <f>IF($A88="","",Mandays*VLOOKUP($A88,Lists!$H$3:$I$4,2,FALSE)*I70)</f>
        <v/>
      </c>
      <c r="J88" s="24">
        <f>IF($A88="","",Mandays*VLOOKUP($A88,Lists!$H$3:$I$4,2,FALSE)*J70)</f>
        <v/>
      </c>
      <c r="K88" s="24">
        <f>IF($A88="","",Mandays*VLOOKUP($A88,Lists!$H$3:$I$4,2,FALSE)*K70)</f>
        <v/>
      </c>
      <c r="L88" s="24">
        <f>IF($A88="","",Mandays*VLOOKUP($A88,Lists!$H$3:$I$4,2,FALSE)*L70)</f>
        <v/>
      </c>
      <c r="M88" s="24">
        <f>IF($A88="","",Mandays*VLOOKUP($A88,Lists!$H$3:$I$4,2,FALSE)*M70)</f>
        <v/>
      </c>
      <c r="N88" s="24">
        <f>SUM(B88:M88)</f>
        <v/>
      </c>
    </row>
    <row r="89">
      <c r="A89" s="23">
        <f>IF(Projects!A5="","",Projects!A5)</f>
        <v/>
      </c>
      <c r="B89" s="24">
        <f>IF($A89="","",Mandays*VLOOKUP($A89,Lists!$H$3:$I$4,2,FALSE)*B70)</f>
        <v/>
      </c>
      <c r="C89" s="24">
        <f>IF($A89="","",Mandays*VLOOKUP($A89,Lists!$H$3:$I$4,2,FALSE)*C70)</f>
        <v/>
      </c>
      <c r="D89" s="24">
        <f>IF($A89="","",Mandays*VLOOKUP($A89,Lists!$H$3:$I$4,2,FALSE)*D70)</f>
        <v/>
      </c>
      <c r="E89" s="24">
        <f>IF($A89="","",Mandays*VLOOKUP($A89,Lists!$H$3:$I$4,2,FALSE)*E70)</f>
        <v/>
      </c>
      <c r="F89" s="24">
        <f>IF($A89="","",Mandays*VLOOKUP($A89,Lists!$H$3:$I$4,2,FALSE)*F70)</f>
        <v/>
      </c>
      <c r="G89" s="24">
        <f>IF($A89="","",Mandays*VLOOKUP($A89,Lists!$H$3:$I$4,2,FALSE)*G70)</f>
        <v/>
      </c>
      <c r="H89" s="24">
        <f>IF($A89="","",Mandays*VLOOKUP($A89,Lists!$H$3:$I$4,2,FALSE)*H70)</f>
        <v/>
      </c>
      <c r="I89" s="24">
        <f>IF($A89="","",Mandays*VLOOKUP($A89,Lists!$H$3:$I$4,2,FALSE)*I70)</f>
        <v/>
      </c>
      <c r="J89" s="24">
        <f>IF($A89="","",Mandays*VLOOKUP($A89,Lists!$H$3:$I$4,2,FALSE)*J70)</f>
        <v/>
      </c>
      <c r="K89" s="24">
        <f>IF($A89="","",Mandays*VLOOKUP($A89,Lists!$H$3:$I$4,2,FALSE)*K70)</f>
        <v/>
      </c>
      <c r="L89" s="24">
        <f>IF($A89="","",Mandays*VLOOKUP($A89,Lists!$H$3:$I$4,2,FALSE)*L70)</f>
        <v/>
      </c>
      <c r="M89" s="24">
        <f>IF($A89="","",Mandays*VLOOKUP($A89,Lists!$H$3:$I$4,2,FALSE)*M70)</f>
        <v/>
      </c>
      <c r="N89" s="24">
        <f>SUM(B89:M89)</f>
        <v/>
      </c>
    </row>
    <row r="90">
      <c r="A90" s="23">
        <f>IF(Projects!A6="","",Projects!A6)</f>
        <v/>
      </c>
      <c r="B90" s="24">
        <f>IF($A90="","",Mandays*VLOOKUP($A90,Lists!$H$3:$I$4,2,FALSE)*B70)</f>
        <v/>
      </c>
      <c r="C90" s="24">
        <f>IF($A90="","",Mandays*VLOOKUP($A90,Lists!$H$3:$I$4,2,FALSE)*C70)</f>
        <v/>
      </c>
      <c r="D90" s="24">
        <f>IF($A90="","",Mandays*VLOOKUP($A90,Lists!$H$3:$I$4,2,FALSE)*D70)</f>
        <v/>
      </c>
      <c r="E90" s="24">
        <f>IF($A90="","",Mandays*VLOOKUP($A90,Lists!$H$3:$I$4,2,FALSE)*E70)</f>
        <v/>
      </c>
      <c r="F90" s="24">
        <f>IF($A90="","",Mandays*VLOOKUP($A90,Lists!$H$3:$I$4,2,FALSE)*F70)</f>
        <v/>
      </c>
      <c r="G90" s="24">
        <f>IF($A90="","",Mandays*VLOOKUP($A90,Lists!$H$3:$I$4,2,FALSE)*G70)</f>
        <v/>
      </c>
      <c r="H90" s="24">
        <f>IF($A90="","",Mandays*VLOOKUP($A90,Lists!$H$3:$I$4,2,FALSE)*H70)</f>
        <v/>
      </c>
      <c r="I90" s="24">
        <f>IF($A90="","",Mandays*VLOOKUP($A90,Lists!$H$3:$I$4,2,FALSE)*I70)</f>
        <v/>
      </c>
      <c r="J90" s="24">
        <f>IF($A90="","",Mandays*VLOOKUP($A90,Lists!$H$3:$I$4,2,FALSE)*J70)</f>
        <v/>
      </c>
      <c r="K90" s="24">
        <f>IF($A90="","",Mandays*VLOOKUP($A90,Lists!$H$3:$I$4,2,FALSE)*K70)</f>
        <v/>
      </c>
      <c r="L90" s="24">
        <f>IF($A90="","",Mandays*VLOOKUP($A90,Lists!$H$3:$I$4,2,FALSE)*L70)</f>
        <v/>
      </c>
      <c r="M90" s="24">
        <f>IF($A90="","",Mandays*VLOOKUP($A90,Lists!$H$3:$I$4,2,FALSE)*M70)</f>
        <v/>
      </c>
      <c r="N90" s="24">
        <f>SUM(B90:M90)</f>
        <v/>
      </c>
    </row>
    <row r="91">
      <c r="A91" s="23">
        <f>IF(Projects!A7="","",Projects!A7)</f>
        <v/>
      </c>
      <c r="B91" s="24">
        <f>IF($A91="","",Mandays*VLOOKUP($A91,Lists!$H$3:$I$4,2,FALSE)*B70)</f>
        <v/>
      </c>
      <c r="C91" s="24">
        <f>IF($A91="","",Mandays*VLOOKUP($A91,Lists!$H$3:$I$4,2,FALSE)*C70)</f>
        <v/>
      </c>
      <c r="D91" s="24">
        <f>IF($A91="","",Mandays*VLOOKUP($A91,Lists!$H$3:$I$4,2,FALSE)*D70)</f>
        <v/>
      </c>
      <c r="E91" s="24">
        <f>IF($A91="","",Mandays*VLOOKUP($A91,Lists!$H$3:$I$4,2,FALSE)*E70)</f>
        <v/>
      </c>
      <c r="F91" s="24">
        <f>IF($A91="","",Mandays*VLOOKUP($A91,Lists!$H$3:$I$4,2,FALSE)*F70)</f>
        <v/>
      </c>
      <c r="G91" s="24">
        <f>IF($A91="","",Mandays*VLOOKUP($A91,Lists!$H$3:$I$4,2,FALSE)*G70)</f>
        <v/>
      </c>
      <c r="H91" s="24">
        <f>IF($A91="","",Mandays*VLOOKUP($A91,Lists!$H$3:$I$4,2,FALSE)*H70)</f>
        <v/>
      </c>
      <c r="I91" s="24">
        <f>IF($A91="","",Mandays*VLOOKUP($A91,Lists!$H$3:$I$4,2,FALSE)*I70)</f>
        <v/>
      </c>
      <c r="J91" s="24">
        <f>IF($A91="","",Mandays*VLOOKUP($A91,Lists!$H$3:$I$4,2,FALSE)*J70)</f>
        <v/>
      </c>
      <c r="K91" s="24">
        <f>IF($A91="","",Mandays*VLOOKUP($A91,Lists!$H$3:$I$4,2,FALSE)*K70)</f>
        <v/>
      </c>
      <c r="L91" s="24">
        <f>IF($A91="","",Mandays*VLOOKUP($A91,Lists!$H$3:$I$4,2,FALSE)*L70)</f>
        <v/>
      </c>
      <c r="M91" s="24">
        <f>IF($A91="","",Mandays*VLOOKUP($A91,Lists!$H$3:$I$4,2,FALSE)*M70)</f>
        <v/>
      </c>
      <c r="N91" s="24">
        <f>SUM(B91:M91)</f>
        <v/>
      </c>
    </row>
    <row r="92">
      <c r="A92" s="23">
        <f>IF(Projects!A8="","",Projects!A8)</f>
        <v/>
      </c>
      <c r="B92" s="24">
        <f>IF($A92="","",Mandays*VLOOKUP($A92,Lists!$H$3:$I$4,2,FALSE)*B70)</f>
        <v/>
      </c>
      <c r="C92" s="24">
        <f>IF($A92="","",Mandays*VLOOKUP($A92,Lists!$H$3:$I$4,2,FALSE)*C70)</f>
        <v/>
      </c>
      <c r="D92" s="24">
        <f>IF($A92="","",Mandays*VLOOKUP($A92,Lists!$H$3:$I$4,2,FALSE)*D70)</f>
        <v/>
      </c>
      <c r="E92" s="24">
        <f>IF($A92="","",Mandays*VLOOKUP($A92,Lists!$H$3:$I$4,2,FALSE)*E70)</f>
        <v/>
      </c>
      <c r="F92" s="24">
        <f>IF($A92="","",Mandays*VLOOKUP($A92,Lists!$H$3:$I$4,2,FALSE)*F70)</f>
        <v/>
      </c>
      <c r="G92" s="24">
        <f>IF($A92="","",Mandays*VLOOKUP($A92,Lists!$H$3:$I$4,2,FALSE)*G70)</f>
        <v/>
      </c>
      <c r="H92" s="24">
        <f>IF($A92="","",Mandays*VLOOKUP($A92,Lists!$H$3:$I$4,2,FALSE)*H70)</f>
        <v/>
      </c>
      <c r="I92" s="24">
        <f>IF($A92="","",Mandays*VLOOKUP($A92,Lists!$H$3:$I$4,2,FALSE)*I70)</f>
        <v/>
      </c>
      <c r="J92" s="24">
        <f>IF($A92="","",Mandays*VLOOKUP($A92,Lists!$H$3:$I$4,2,FALSE)*J70)</f>
        <v/>
      </c>
      <c r="K92" s="24">
        <f>IF($A92="","",Mandays*VLOOKUP($A92,Lists!$H$3:$I$4,2,FALSE)*K70)</f>
        <v/>
      </c>
      <c r="L92" s="24">
        <f>IF($A92="","",Mandays*VLOOKUP($A92,Lists!$H$3:$I$4,2,FALSE)*L70)</f>
        <v/>
      </c>
      <c r="M92" s="24">
        <f>IF($A92="","",Mandays*VLOOKUP($A92,Lists!$H$3:$I$4,2,FALSE)*M70)</f>
        <v/>
      </c>
      <c r="N92" s="24">
        <f>SUM(B92:M92)</f>
        <v/>
      </c>
    </row>
    <row r="93">
      <c r="A93" s="23">
        <f>IF(Projects!A9="","",Projects!A9)</f>
        <v/>
      </c>
      <c r="B93" s="24">
        <f>IF($A93="","",Mandays*VLOOKUP($A93,Lists!$H$3:$I$4,2,FALSE)*B70)</f>
        <v/>
      </c>
      <c r="C93" s="24">
        <f>IF($A93="","",Mandays*VLOOKUP($A93,Lists!$H$3:$I$4,2,FALSE)*C70)</f>
        <v/>
      </c>
      <c r="D93" s="24">
        <f>IF($A93="","",Mandays*VLOOKUP($A93,Lists!$H$3:$I$4,2,FALSE)*D70)</f>
        <v/>
      </c>
      <c r="E93" s="24">
        <f>IF($A93="","",Mandays*VLOOKUP($A93,Lists!$H$3:$I$4,2,FALSE)*E70)</f>
        <v/>
      </c>
      <c r="F93" s="24">
        <f>IF($A93="","",Mandays*VLOOKUP($A93,Lists!$H$3:$I$4,2,FALSE)*F70)</f>
        <v/>
      </c>
      <c r="G93" s="24">
        <f>IF($A93="","",Mandays*VLOOKUP($A93,Lists!$H$3:$I$4,2,FALSE)*G70)</f>
        <v/>
      </c>
      <c r="H93" s="24">
        <f>IF($A93="","",Mandays*VLOOKUP($A93,Lists!$H$3:$I$4,2,FALSE)*H70)</f>
        <v/>
      </c>
      <c r="I93" s="24">
        <f>IF($A93="","",Mandays*VLOOKUP($A93,Lists!$H$3:$I$4,2,FALSE)*I70)</f>
        <v/>
      </c>
      <c r="J93" s="24">
        <f>IF($A93="","",Mandays*VLOOKUP($A93,Lists!$H$3:$I$4,2,FALSE)*J70)</f>
        <v/>
      </c>
      <c r="K93" s="24">
        <f>IF($A93="","",Mandays*VLOOKUP($A93,Lists!$H$3:$I$4,2,FALSE)*K70)</f>
        <v/>
      </c>
      <c r="L93" s="24">
        <f>IF($A93="","",Mandays*VLOOKUP($A93,Lists!$H$3:$I$4,2,FALSE)*L70)</f>
        <v/>
      </c>
      <c r="M93" s="24">
        <f>IF($A93="","",Mandays*VLOOKUP($A93,Lists!$H$3:$I$4,2,FALSE)*M70)</f>
        <v/>
      </c>
      <c r="N93" s="24">
        <f>SUM(B93:M93)</f>
        <v/>
      </c>
    </row>
    <row r="94">
      <c r="A94" s="23">
        <f>IF(Projects!A10="","",Projects!A10)</f>
        <v/>
      </c>
      <c r="B94" s="24">
        <f>IF($A94="","",Mandays*VLOOKUP($A94,Lists!$H$3:$I$4,2,FALSE)*B70)</f>
        <v/>
      </c>
      <c r="C94" s="24">
        <f>IF($A94="","",Mandays*VLOOKUP($A94,Lists!$H$3:$I$4,2,FALSE)*C70)</f>
        <v/>
      </c>
      <c r="D94" s="24">
        <f>IF($A94="","",Mandays*VLOOKUP($A94,Lists!$H$3:$I$4,2,FALSE)*D70)</f>
        <v/>
      </c>
      <c r="E94" s="24">
        <f>IF($A94="","",Mandays*VLOOKUP($A94,Lists!$H$3:$I$4,2,FALSE)*E70)</f>
        <v/>
      </c>
      <c r="F94" s="24">
        <f>IF($A94="","",Mandays*VLOOKUP($A94,Lists!$H$3:$I$4,2,FALSE)*F70)</f>
        <v/>
      </c>
      <c r="G94" s="24">
        <f>IF($A94="","",Mandays*VLOOKUP($A94,Lists!$H$3:$I$4,2,FALSE)*G70)</f>
        <v/>
      </c>
      <c r="H94" s="24">
        <f>IF($A94="","",Mandays*VLOOKUP($A94,Lists!$H$3:$I$4,2,FALSE)*H70)</f>
        <v/>
      </c>
      <c r="I94" s="24">
        <f>IF($A94="","",Mandays*VLOOKUP($A94,Lists!$H$3:$I$4,2,FALSE)*I70)</f>
        <v/>
      </c>
      <c r="J94" s="24">
        <f>IF($A94="","",Mandays*VLOOKUP($A94,Lists!$H$3:$I$4,2,FALSE)*J70)</f>
        <v/>
      </c>
      <c r="K94" s="24">
        <f>IF($A94="","",Mandays*VLOOKUP($A94,Lists!$H$3:$I$4,2,FALSE)*K70)</f>
        <v/>
      </c>
      <c r="L94" s="24">
        <f>IF($A94="","",Mandays*VLOOKUP($A94,Lists!$H$3:$I$4,2,FALSE)*L70)</f>
        <v/>
      </c>
      <c r="M94" s="24">
        <f>IF($A94="","",Mandays*VLOOKUP($A94,Lists!$H$3:$I$4,2,FALSE)*M70)</f>
        <v/>
      </c>
      <c r="N94" s="24">
        <f>SUM(B94:M94)</f>
        <v/>
      </c>
    </row>
    <row r="95">
      <c r="A95" s="23">
        <f>IF(Projects!A11="","",Projects!A11)</f>
        <v/>
      </c>
      <c r="B95" s="24">
        <f>IF($A95="","",Mandays*VLOOKUP($A95,Lists!$H$3:$I$4,2,FALSE)*B70)</f>
        <v/>
      </c>
      <c r="C95" s="24">
        <f>IF($A95="","",Mandays*VLOOKUP($A95,Lists!$H$3:$I$4,2,FALSE)*C70)</f>
        <v/>
      </c>
      <c r="D95" s="24">
        <f>IF($A95="","",Mandays*VLOOKUP($A95,Lists!$H$3:$I$4,2,FALSE)*D70)</f>
        <v/>
      </c>
      <c r="E95" s="24">
        <f>IF($A95="","",Mandays*VLOOKUP($A95,Lists!$H$3:$I$4,2,FALSE)*E70)</f>
        <v/>
      </c>
      <c r="F95" s="24">
        <f>IF($A95="","",Mandays*VLOOKUP($A95,Lists!$H$3:$I$4,2,FALSE)*F70)</f>
        <v/>
      </c>
      <c r="G95" s="24">
        <f>IF($A95="","",Mandays*VLOOKUP($A95,Lists!$H$3:$I$4,2,FALSE)*G70)</f>
        <v/>
      </c>
      <c r="H95" s="24">
        <f>IF($A95="","",Mandays*VLOOKUP($A95,Lists!$H$3:$I$4,2,FALSE)*H70)</f>
        <v/>
      </c>
      <c r="I95" s="24">
        <f>IF($A95="","",Mandays*VLOOKUP($A95,Lists!$H$3:$I$4,2,FALSE)*I70)</f>
        <v/>
      </c>
      <c r="J95" s="24">
        <f>IF($A95="","",Mandays*VLOOKUP($A95,Lists!$H$3:$I$4,2,FALSE)*J70)</f>
        <v/>
      </c>
      <c r="K95" s="24">
        <f>IF($A95="","",Mandays*VLOOKUP($A95,Lists!$H$3:$I$4,2,FALSE)*K70)</f>
        <v/>
      </c>
      <c r="L95" s="24">
        <f>IF($A95="","",Mandays*VLOOKUP($A95,Lists!$H$3:$I$4,2,FALSE)*L70)</f>
        <v/>
      </c>
      <c r="M95" s="24">
        <f>IF($A95="","",Mandays*VLOOKUP($A95,Lists!$H$3:$I$4,2,FALSE)*M70)</f>
        <v/>
      </c>
      <c r="N95" s="24">
        <f>SUM(B95:M95)</f>
        <v/>
      </c>
    </row>
    <row r="96">
      <c r="A96" s="23">
        <f>IF(Projects!A12="","",Projects!A12)</f>
        <v/>
      </c>
      <c r="B96" s="24">
        <f>IF($A96="","",Mandays*VLOOKUP($A96,Lists!$H$3:$I$4,2,FALSE)*B70)</f>
        <v/>
      </c>
      <c r="C96" s="24">
        <f>IF($A96="","",Mandays*VLOOKUP($A96,Lists!$H$3:$I$4,2,FALSE)*C70)</f>
        <v/>
      </c>
      <c r="D96" s="24">
        <f>IF($A96="","",Mandays*VLOOKUP($A96,Lists!$H$3:$I$4,2,FALSE)*D70)</f>
        <v/>
      </c>
      <c r="E96" s="24">
        <f>IF($A96="","",Mandays*VLOOKUP($A96,Lists!$H$3:$I$4,2,FALSE)*E70)</f>
        <v/>
      </c>
      <c r="F96" s="24">
        <f>IF($A96="","",Mandays*VLOOKUP($A96,Lists!$H$3:$I$4,2,FALSE)*F70)</f>
        <v/>
      </c>
      <c r="G96" s="24">
        <f>IF($A96="","",Mandays*VLOOKUP($A96,Lists!$H$3:$I$4,2,FALSE)*G70)</f>
        <v/>
      </c>
      <c r="H96" s="24">
        <f>IF($A96="","",Mandays*VLOOKUP($A96,Lists!$H$3:$I$4,2,FALSE)*H70)</f>
        <v/>
      </c>
      <c r="I96" s="24">
        <f>IF($A96="","",Mandays*VLOOKUP($A96,Lists!$H$3:$I$4,2,FALSE)*I70)</f>
        <v/>
      </c>
      <c r="J96" s="24">
        <f>IF($A96="","",Mandays*VLOOKUP($A96,Lists!$H$3:$I$4,2,FALSE)*J70)</f>
        <v/>
      </c>
      <c r="K96" s="24">
        <f>IF($A96="","",Mandays*VLOOKUP($A96,Lists!$H$3:$I$4,2,FALSE)*K70)</f>
        <v/>
      </c>
      <c r="L96" s="24">
        <f>IF($A96="","",Mandays*VLOOKUP($A96,Lists!$H$3:$I$4,2,FALSE)*L70)</f>
        <v/>
      </c>
      <c r="M96" s="24">
        <f>IF($A96="","",Mandays*VLOOKUP($A96,Lists!$H$3:$I$4,2,FALSE)*M70)</f>
        <v/>
      </c>
      <c r="N96" s="24">
        <f>SUM(B96:M96)</f>
        <v/>
      </c>
    </row>
    <row r="97">
      <c r="A97" s="23">
        <f>IF(Projects!A13="","",Projects!A13)</f>
        <v/>
      </c>
      <c r="B97" s="24">
        <f>IF($A97="","",Mandays*VLOOKUP($A97,Lists!$H$3:$I$4,2,FALSE)*B70)</f>
        <v/>
      </c>
      <c r="C97" s="24">
        <f>IF($A97="","",Mandays*VLOOKUP($A97,Lists!$H$3:$I$4,2,FALSE)*C70)</f>
        <v/>
      </c>
      <c r="D97" s="24">
        <f>IF($A97="","",Mandays*VLOOKUP($A97,Lists!$H$3:$I$4,2,FALSE)*D70)</f>
        <v/>
      </c>
      <c r="E97" s="24">
        <f>IF($A97="","",Mandays*VLOOKUP($A97,Lists!$H$3:$I$4,2,FALSE)*E70)</f>
        <v/>
      </c>
      <c r="F97" s="24">
        <f>IF($A97="","",Mandays*VLOOKUP($A97,Lists!$H$3:$I$4,2,FALSE)*F70)</f>
        <v/>
      </c>
      <c r="G97" s="24">
        <f>IF($A97="","",Mandays*VLOOKUP($A97,Lists!$H$3:$I$4,2,FALSE)*G70)</f>
        <v/>
      </c>
      <c r="H97" s="24">
        <f>IF($A97="","",Mandays*VLOOKUP($A97,Lists!$H$3:$I$4,2,FALSE)*H70)</f>
        <v/>
      </c>
      <c r="I97" s="24">
        <f>IF($A97="","",Mandays*VLOOKUP($A97,Lists!$H$3:$I$4,2,FALSE)*I70)</f>
        <v/>
      </c>
      <c r="J97" s="24">
        <f>IF($A97="","",Mandays*VLOOKUP($A97,Lists!$H$3:$I$4,2,FALSE)*J70)</f>
        <v/>
      </c>
      <c r="K97" s="24">
        <f>IF($A97="","",Mandays*VLOOKUP($A97,Lists!$H$3:$I$4,2,FALSE)*K70)</f>
        <v/>
      </c>
      <c r="L97" s="24">
        <f>IF($A97="","",Mandays*VLOOKUP($A97,Lists!$H$3:$I$4,2,FALSE)*L70)</f>
        <v/>
      </c>
      <c r="M97" s="24">
        <f>IF($A97="","",Mandays*VLOOKUP($A97,Lists!$H$3:$I$4,2,FALSE)*M70)</f>
        <v/>
      </c>
      <c r="N97" s="24">
        <f>SUM(B97:M97)</f>
        <v/>
      </c>
    </row>
    <row r="98">
      <c r="A98" s="23">
        <f>IF(Projects!A14="","",Projects!A14)</f>
        <v/>
      </c>
      <c r="B98" s="24">
        <f>IF($A98="","",Mandays*VLOOKUP($A98,Lists!$H$3:$I$4,2,FALSE)*B70)</f>
        <v/>
      </c>
      <c r="C98" s="24">
        <f>IF($A98="","",Mandays*VLOOKUP($A98,Lists!$H$3:$I$4,2,FALSE)*C70)</f>
        <v/>
      </c>
      <c r="D98" s="24">
        <f>IF($A98="","",Mandays*VLOOKUP($A98,Lists!$H$3:$I$4,2,FALSE)*D70)</f>
        <v/>
      </c>
      <c r="E98" s="24">
        <f>IF($A98="","",Mandays*VLOOKUP($A98,Lists!$H$3:$I$4,2,FALSE)*E70)</f>
        <v/>
      </c>
      <c r="F98" s="24">
        <f>IF($A98="","",Mandays*VLOOKUP($A98,Lists!$H$3:$I$4,2,FALSE)*F70)</f>
        <v/>
      </c>
      <c r="G98" s="24">
        <f>IF($A98="","",Mandays*VLOOKUP($A98,Lists!$H$3:$I$4,2,FALSE)*G70)</f>
        <v/>
      </c>
      <c r="H98" s="24">
        <f>IF($A98="","",Mandays*VLOOKUP($A98,Lists!$H$3:$I$4,2,FALSE)*H70)</f>
        <v/>
      </c>
      <c r="I98" s="24">
        <f>IF($A98="","",Mandays*VLOOKUP($A98,Lists!$H$3:$I$4,2,FALSE)*I70)</f>
        <v/>
      </c>
      <c r="J98" s="24">
        <f>IF($A98="","",Mandays*VLOOKUP($A98,Lists!$H$3:$I$4,2,FALSE)*J70)</f>
        <v/>
      </c>
      <c r="K98" s="24">
        <f>IF($A98="","",Mandays*VLOOKUP($A98,Lists!$H$3:$I$4,2,FALSE)*K70)</f>
        <v/>
      </c>
      <c r="L98" s="24">
        <f>IF($A98="","",Mandays*VLOOKUP($A98,Lists!$H$3:$I$4,2,FALSE)*L70)</f>
        <v/>
      </c>
      <c r="M98" s="24">
        <f>IF($A98="","",Mandays*VLOOKUP($A98,Lists!$H$3:$I$4,2,FALSE)*M70)</f>
        <v/>
      </c>
      <c r="N98" s="24">
        <f>SUM(B98:M98)</f>
        <v/>
      </c>
    </row>
    <row r="99">
      <c r="A99" s="23">
        <f>IF(Projects!A15="","",Projects!A15)</f>
        <v/>
      </c>
      <c r="B99" s="24">
        <f>IF($A99="","",Mandays*VLOOKUP($A99,Lists!$H$3:$I$4,2,FALSE)*B70)</f>
        <v/>
      </c>
      <c r="C99" s="24">
        <f>IF($A99="","",Mandays*VLOOKUP($A99,Lists!$H$3:$I$4,2,FALSE)*C70)</f>
        <v/>
      </c>
      <c r="D99" s="24">
        <f>IF($A99="","",Mandays*VLOOKUP($A99,Lists!$H$3:$I$4,2,FALSE)*D70)</f>
        <v/>
      </c>
      <c r="E99" s="24">
        <f>IF($A99="","",Mandays*VLOOKUP($A99,Lists!$H$3:$I$4,2,FALSE)*E70)</f>
        <v/>
      </c>
      <c r="F99" s="24">
        <f>IF($A99="","",Mandays*VLOOKUP($A99,Lists!$H$3:$I$4,2,FALSE)*F70)</f>
        <v/>
      </c>
      <c r="G99" s="24">
        <f>IF($A99="","",Mandays*VLOOKUP($A99,Lists!$H$3:$I$4,2,FALSE)*G70)</f>
        <v/>
      </c>
      <c r="H99" s="24">
        <f>IF($A99="","",Mandays*VLOOKUP($A99,Lists!$H$3:$I$4,2,FALSE)*H70)</f>
        <v/>
      </c>
      <c r="I99" s="24">
        <f>IF($A99="","",Mandays*VLOOKUP($A99,Lists!$H$3:$I$4,2,FALSE)*I70)</f>
        <v/>
      </c>
      <c r="J99" s="24">
        <f>IF($A99="","",Mandays*VLOOKUP($A99,Lists!$H$3:$I$4,2,FALSE)*J70)</f>
        <v/>
      </c>
      <c r="K99" s="24">
        <f>IF($A99="","",Mandays*VLOOKUP($A99,Lists!$H$3:$I$4,2,FALSE)*K70)</f>
        <v/>
      </c>
      <c r="L99" s="24">
        <f>IF($A99="","",Mandays*VLOOKUP($A99,Lists!$H$3:$I$4,2,FALSE)*L70)</f>
        <v/>
      </c>
      <c r="M99" s="24">
        <f>IF($A99="","",Mandays*VLOOKUP($A99,Lists!$H$3:$I$4,2,FALSE)*M70)</f>
        <v/>
      </c>
      <c r="N99" s="24">
        <f>SUM(B99:M99)</f>
        <v/>
      </c>
    </row>
    <row r="100">
      <c r="A100" s="23">
        <f>IF(Projects!A16="","",Projects!A16)</f>
        <v/>
      </c>
      <c r="B100" s="24">
        <f>IF($A100="","",Mandays*VLOOKUP($A100,Lists!$H$3:$I$4,2,FALSE)*B70)</f>
        <v/>
      </c>
      <c r="C100" s="24">
        <f>IF($A100="","",Mandays*VLOOKUP($A100,Lists!$H$3:$I$4,2,FALSE)*C70)</f>
        <v/>
      </c>
      <c r="D100" s="24">
        <f>IF($A100="","",Mandays*VLOOKUP($A100,Lists!$H$3:$I$4,2,FALSE)*D70)</f>
        <v/>
      </c>
      <c r="E100" s="24">
        <f>IF($A100="","",Mandays*VLOOKUP($A100,Lists!$H$3:$I$4,2,FALSE)*E70)</f>
        <v/>
      </c>
      <c r="F100" s="24">
        <f>IF($A100="","",Mandays*VLOOKUP($A100,Lists!$H$3:$I$4,2,FALSE)*F70)</f>
        <v/>
      </c>
      <c r="G100" s="24">
        <f>IF($A100="","",Mandays*VLOOKUP($A100,Lists!$H$3:$I$4,2,FALSE)*G70)</f>
        <v/>
      </c>
      <c r="H100" s="24">
        <f>IF($A100="","",Mandays*VLOOKUP($A100,Lists!$H$3:$I$4,2,FALSE)*H70)</f>
        <v/>
      </c>
      <c r="I100" s="24">
        <f>IF($A100="","",Mandays*VLOOKUP($A100,Lists!$H$3:$I$4,2,FALSE)*I70)</f>
        <v/>
      </c>
      <c r="J100" s="24">
        <f>IF($A100="","",Mandays*VLOOKUP($A100,Lists!$H$3:$I$4,2,FALSE)*J70)</f>
        <v/>
      </c>
      <c r="K100" s="24">
        <f>IF($A100="","",Mandays*VLOOKUP($A100,Lists!$H$3:$I$4,2,FALSE)*K70)</f>
        <v/>
      </c>
      <c r="L100" s="24">
        <f>IF($A100="","",Mandays*VLOOKUP($A100,Lists!$H$3:$I$4,2,FALSE)*L70)</f>
        <v/>
      </c>
      <c r="M100" s="24">
        <f>IF($A100="","",Mandays*VLOOKUP($A100,Lists!$H$3:$I$4,2,FALSE)*M70)</f>
        <v/>
      </c>
      <c r="N100" s="24">
        <f>SUM(B100:M100)</f>
        <v/>
      </c>
    </row>
    <row r="101">
      <c r="A101" s="23">
        <f>IF(Projects!A17="","",Projects!A17)</f>
        <v/>
      </c>
      <c r="B101" s="24">
        <f>IF($A101="","",Mandays*VLOOKUP($A101,Lists!$H$3:$I$4,2,FALSE)*B70)</f>
        <v/>
      </c>
      <c r="C101" s="24">
        <f>IF($A101="","",Mandays*VLOOKUP($A101,Lists!$H$3:$I$4,2,FALSE)*C70)</f>
        <v/>
      </c>
      <c r="D101" s="24">
        <f>IF($A101="","",Mandays*VLOOKUP($A101,Lists!$H$3:$I$4,2,FALSE)*D70)</f>
        <v/>
      </c>
      <c r="E101" s="24">
        <f>IF($A101="","",Mandays*VLOOKUP($A101,Lists!$H$3:$I$4,2,FALSE)*E70)</f>
        <v/>
      </c>
      <c r="F101" s="24">
        <f>IF($A101="","",Mandays*VLOOKUP($A101,Lists!$H$3:$I$4,2,FALSE)*F70)</f>
        <v/>
      </c>
      <c r="G101" s="24">
        <f>IF($A101="","",Mandays*VLOOKUP($A101,Lists!$H$3:$I$4,2,FALSE)*G70)</f>
        <v/>
      </c>
      <c r="H101" s="24">
        <f>IF($A101="","",Mandays*VLOOKUP($A101,Lists!$H$3:$I$4,2,FALSE)*H70)</f>
        <v/>
      </c>
      <c r="I101" s="24">
        <f>IF($A101="","",Mandays*VLOOKUP($A101,Lists!$H$3:$I$4,2,FALSE)*I70)</f>
        <v/>
      </c>
      <c r="J101" s="24">
        <f>IF($A101="","",Mandays*VLOOKUP($A101,Lists!$H$3:$I$4,2,FALSE)*J70)</f>
        <v/>
      </c>
      <c r="K101" s="24">
        <f>IF($A101="","",Mandays*VLOOKUP($A101,Lists!$H$3:$I$4,2,FALSE)*K70)</f>
        <v/>
      </c>
      <c r="L101" s="24">
        <f>IF($A101="","",Mandays*VLOOKUP($A101,Lists!$H$3:$I$4,2,FALSE)*L70)</f>
        <v/>
      </c>
      <c r="M101" s="24">
        <f>IF($A101="","",Mandays*VLOOKUP($A101,Lists!$H$3:$I$4,2,FALSE)*M70)</f>
        <v/>
      </c>
      <c r="N101" s="24">
        <f>SUM(B101:M101)</f>
        <v/>
      </c>
    </row>
    <row r="102">
      <c r="A102" s="23">
        <f>IF(Projects!A18="","",Projects!A18)</f>
        <v/>
      </c>
      <c r="B102" s="24">
        <f>IF($A102="","",Mandays*VLOOKUP($A102,Lists!$H$3:$I$4,2,FALSE)*B70)</f>
        <v/>
      </c>
      <c r="C102" s="24">
        <f>IF($A102="","",Mandays*VLOOKUP($A102,Lists!$H$3:$I$4,2,FALSE)*C70)</f>
        <v/>
      </c>
      <c r="D102" s="24">
        <f>IF($A102="","",Mandays*VLOOKUP($A102,Lists!$H$3:$I$4,2,FALSE)*D70)</f>
        <v/>
      </c>
      <c r="E102" s="24">
        <f>IF($A102="","",Mandays*VLOOKUP($A102,Lists!$H$3:$I$4,2,FALSE)*E70)</f>
        <v/>
      </c>
      <c r="F102" s="24">
        <f>IF($A102="","",Mandays*VLOOKUP($A102,Lists!$H$3:$I$4,2,FALSE)*F70)</f>
        <v/>
      </c>
      <c r="G102" s="24">
        <f>IF($A102="","",Mandays*VLOOKUP($A102,Lists!$H$3:$I$4,2,FALSE)*G70)</f>
        <v/>
      </c>
      <c r="H102" s="24">
        <f>IF($A102="","",Mandays*VLOOKUP($A102,Lists!$H$3:$I$4,2,FALSE)*H70)</f>
        <v/>
      </c>
      <c r="I102" s="24">
        <f>IF($A102="","",Mandays*VLOOKUP($A102,Lists!$H$3:$I$4,2,FALSE)*I70)</f>
        <v/>
      </c>
      <c r="J102" s="24">
        <f>IF($A102="","",Mandays*VLOOKUP($A102,Lists!$H$3:$I$4,2,FALSE)*J70)</f>
        <v/>
      </c>
      <c r="K102" s="24">
        <f>IF($A102="","",Mandays*VLOOKUP($A102,Lists!$H$3:$I$4,2,FALSE)*K70)</f>
        <v/>
      </c>
      <c r="L102" s="24">
        <f>IF($A102="","",Mandays*VLOOKUP($A102,Lists!$H$3:$I$4,2,FALSE)*L70)</f>
        <v/>
      </c>
      <c r="M102" s="24">
        <f>IF($A102="","",Mandays*VLOOKUP($A102,Lists!$H$3:$I$4,2,FALSE)*M70)</f>
        <v/>
      </c>
      <c r="N102" s="24">
        <f>SUM(B102:M102)</f>
        <v/>
      </c>
    </row>
    <row r="103">
      <c r="A103" s="23">
        <f>IF(Projects!A19="","",Projects!A19)</f>
        <v/>
      </c>
      <c r="B103" s="24">
        <f>IF($A103="","",Mandays*VLOOKUP($A103,Lists!$H$3:$I$4,2,FALSE)*B70)</f>
        <v/>
      </c>
      <c r="C103" s="24">
        <f>IF($A103="","",Mandays*VLOOKUP($A103,Lists!$H$3:$I$4,2,FALSE)*C70)</f>
        <v/>
      </c>
      <c r="D103" s="24">
        <f>IF($A103="","",Mandays*VLOOKUP($A103,Lists!$H$3:$I$4,2,FALSE)*D70)</f>
        <v/>
      </c>
      <c r="E103" s="24">
        <f>IF($A103="","",Mandays*VLOOKUP($A103,Lists!$H$3:$I$4,2,FALSE)*E70)</f>
        <v/>
      </c>
      <c r="F103" s="24">
        <f>IF($A103="","",Mandays*VLOOKUP($A103,Lists!$H$3:$I$4,2,FALSE)*F70)</f>
        <v/>
      </c>
      <c r="G103" s="24">
        <f>IF($A103="","",Mandays*VLOOKUP($A103,Lists!$H$3:$I$4,2,FALSE)*G70)</f>
        <v/>
      </c>
      <c r="H103" s="24">
        <f>IF($A103="","",Mandays*VLOOKUP($A103,Lists!$H$3:$I$4,2,FALSE)*H70)</f>
        <v/>
      </c>
      <c r="I103" s="24">
        <f>IF($A103="","",Mandays*VLOOKUP($A103,Lists!$H$3:$I$4,2,FALSE)*I70)</f>
        <v/>
      </c>
      <c r="J103" s="24">
        <f>IF($A103="","",Mandays*VLOOKUP($A103,Lists!$H$3:$I$4,2,FALSE)*J70)</f>
        <v/>
      </c>
      <c r="K103" s="24">
        <f>IF($A103="","",Mandays*VLOOKUP($A103,Lists!$H$3:$I$4,2,FALSE)*K70)</f>
        <v/>
      </c>
      <c r="L103" s="24">
        <f>IF($A103="","",Mandays*VLOOKUP($A103,Lists!$H$3:$I$4,2,FALSE)*L70)</f>
        <v/>
      </c>
      <c r="M103" s="24">
        <f>IF($A103="","",Mandays*VLOOKUP($A103,Lists!$H$3:$I$4,2,FALSE)*M70)</f>
        <v/>
      </c>
      <c r="N103" s="24">
        <f>SUM(B103:M103)</f>
        <v/>
      </c>
    </row>
    <row r="104">
      <c r="A104" s="23">
        <f>IF(Projects!A20="","",Projects!A20)</f>
        <v/>
      </c>
      <c r="B104" s="24">
        <f>IF($A104="","",Mandays*VLOOKUP($A104,Lists!$H$3:$I$4,2,FALSE)*B70)</f>
        <v/>
      </c>
      <c r="C104" s="24">
        <f>IF($A104="","",Mandays*VLOOKUP($A104,Lists!$H$3:$I$4,2,FALSE)*C70)</f>
        <v/>
      </c>
      <c r="D104" s="24">
        <f>IF($A104="","",Mandays*VLOOKUP($A104,Lists!$H$3:$I$4,2,FALSE)*D70)</f>
        <v/>
      </c>
      <c r="E104" s="24">
        <f>IF($A104="","",Mandays*VLOOKUP($A104,Lists!$H$3:$I$4,2,FALSE)*E70)</f>
        <v/>
      </c>
      <c r="F104" s="24">
        <f>IF($A104="","",Mandays*VLOOKUP($A104,Lists!$H$3:$I$4,2,FALSE)*F70)</f>
        <v/>
      </c>
      <c r="G104" s="24">
        <f>IF($A104="","",Mandays*VLOOKUP($A104,Lists!$H$3:$I$4,2,FALSE)*G70)</f>
        <v/>
      </c>
      <c r="H104" s="24">
        <f>IF($A104="","",Mandays*VLOOKUP($A104,Lists!$H$3:$I$4,2,FALSE)*H70)</f>
        <v/>
      </c>
      <c r="I104" s="24">
        <f>IF($A104="","",Mandays*VLOOKUP($A104,Lists!$H$3:$I$4,2,FALSE)*I70)</f>
        <v/>
      </c>
      <c r="J104" s="24">
        <f>IF($A104="","",Mandays*VLOOKUP($A104,Lists!$H$3:$I$4,2,FALSE)*J70)</f>
        <v/>
      </c>
      <c r="K104" s="24">
        <f>IF($A104="","",Mandays*VLOOKUP($A104,Lists!$H$3:$I$4,2,FALSE)*K70)</f>
        <v/>
      </c>
      <c r="L104" s="24">
        <f>IF($A104="","",Mandays*VLOOKUP($A104,Lists!$H$3:$I$4,2,FALSE)*L70)</f>
        <v/>
      </c>
      <c r="M104" s="24">
        <f>IF($A104="","",Mandays*VLOOKUP($A104,Lists!$H$3:$I$4,2,FALSE)*M70)</f>
        <v/>
      </c>
      <c r="N104" s="24">
        <f>SUM(B104:M104)</f>
        <v/>
      </c>
    </row>
    <row r="105">
      <c r="A105" s="23">
        <f>IF(Projects!A21="","",Projects!A21)</f>
        <v/>
      </c>
      <c r="B105" s="24">
        <f>IF($A105="","",Mandays*VLOOKUP($A105,Lists!$H$3:$I$4,2,FALSE)*B70)</f>
        <v/>
      </c>
      <c r="C105" s="24">
        <f>IF($A105="","",Mandays*VLOOKUP($A105,Lists!$H$3:$I$4,2,FALSE)*C70)</f>
        <v/>
      </c>
      <c r="D105" s="24">
        <f>IF($A105="","",Mandays*VLOOKUP($A105,Lists!$H$3:$I$4,2,FALSE)*D70)</f>
        <v/>
      </c>
      <c r="E105" s="24">
        <f>IF($A105="","",Mandays*VLOOKUP($A105,Lists!$H$3:$I$4,2,FALSE)*E70)</f>
        <v/>
      </c>
      <c r="F105" s="24">
        <f>IF($A105="","",Mandays*VLOOKUP($A105,Lists!$H$3:$I$4,2,FALSE)*F70)</f>
        <v/>
      </c>
      <c r="G105" s="24">
        <f>IF($A105="","",Mandays*VLOOKUP($A105,Lists!$H$3:$I$4,2,FALSE)*G70)</f>
        <v/>
      </c>
      <c r="H105" s="24">
        <f>IF($A105="","",Mandays*VLOOKUP($A105,Lists!$H$3:$I$4,2,FALSE)*H70)</f>
        <v/>
      </c>
      <c r="I105" s="24">
        <f>IF($A105="","",Mandays*VLOOKUP($A105,Lists!$H$3:$I$4,2,FALSE)*I70)</f>
        <v/>
      </c>
      <c r="J105" s="24">
        <f>IF($A105="","",Mandays*VLOOKUP($A105,Lists!$H$3:$I$4,2,FALSE)*J70)</f>
        <v/>
      </c>
      <c r="K105" s="24">
        <f>IF($A105="","",Mandays*VLOOKUP($A105,Lists!$H$3:$I$4,2,FALSE)*K70)</f>
        <v/>
      </c>
      <c r="L105" s="24">
        <f>IF($A105="","",Mandays*VLOOKUP($A105,Lists!$H$3:$I$4,2,FALSE)*L70)</f>
        <v/>
      </c>
      <c r="M105" s="24">
        <f>IF($A105="","",Mandays*VLOOKUP($A105,Lists!$H$3:$I$4,2,FALSE)*M70)</f>
        <v/>
      </c>
      <c r="N105" s="24">
        <f>SUM(B105:M105)</f>
        <v/>
      </c>
    </row>
    <row r="106">
      <c r="A106" s="23" t="inlineStr">
        <is>
          <t>TOTAL (all projects)</t>
        </is>
      </c>
      <c r="B106" s="24">
        <f>IF($A106="","",Mandays*VLOOKUP($A106,Lists!$H$3:$I$4,2,FALSE)*B70)</f>
        <v/>
      </c>
      <c r="C106" s="24">
        <f>IF($A106="","",Mandays*VLOOKUP($A106,Lists!$H$3:$I$4,2,FALSE)*C70)</f>
        <v/>
      </c>
      <c r="D106" s="24">
        <f>IF($A106="","",Mandays*VLOOKUP($A106,Lists!$H$3:$I$4,2,FALSE)*D70)</f>
        <v/>
      </c>
      <c r="E106" s="24">
        <f>IF($A106="","",Mandays*VLOOKUP($A106,Lists!$H$3:$I$4,2,FALSE)*E70)</f>
        <v/>
      </c>
      <c r="F106" s="24">
        <f>IF($A106="","",Mandays*VLOOKUP($A106,Lists!$H$3:$I$4,2,FALSE)*F70)</f>
        <v/>
      </c>
      <c r="G106" s="24">
        <f>IF($A106="","",Mandays*VLOOKUP($A106,Lists!$H$3:$I$4,2,FALSE)*G70)</f>
        <v/>
      </c>
      <c r="H106" s="24">
        <f>IF($A106="","",Mandays*VLOOKUP($A106,Lists!$H$3:$I$4,2,FALSE)*H70)</f>
        <v/>
      </c>
      <c r="I106" s="24">
        <f>IF($A106="","",Mandays*VLOOKUP($A106,Lists!$H$3:$I$4,2,FALSE)*I70)</f>
        <v/>
      </c>
      <c r="J106" s="24">
        <f>IF($A106="","",Mandays*VLOOKUP($A106,Lists!$H$3:$I$4,2,FALSE)*J70)</f>
        <v/>
      </c>
      <c r="K106" s="24">
        <f>IF($A106="","",Mandays*VLOOKUP($A106,Lists!$H$3:$I$4,2,FALSE)*K70)</f>
        <v/>
      </c>
      <c r="L106" s="24">
        <f>IF($A106="","",Mandays*VLOOKUP($A106,Lists!$H$3:$I$4,2,FALSE)*L70)</f>
        <v/>
      </c>
      <c r="M106" s="24">
        <f>IF($A106="","",Mandays*VLOOKUP($A106,Lists!$H$3:$I$4,2,FALSE)*M70)</f>
        <v/>
      </c>
      <c r="N106" s="24">
        <f>SUM(B106:M106)</f>
        <v/>
      </c>
    </row>
  </sheetData>
  <conditionalFormatting sqref="B30:M39">
    <cfRule type="expression" priority="7" dxfId="2" stopIfTrue="1">
      <formula>=AND(B30&lt;&gt;"",B30&gt;1)</formula>
    </cfRule>
    <cfRule type="expression" priority="8" dxfId="3" stopIfTrue="1">
      <formula>=AND(B30&lt;&gt;"",B30=1)</formula>
    </cfRule>
    <cfRule type="expression" priority="9" dxfId="4" stopIfTrue="0">
      <formula>=AND(B30&lt;&gt;"",B30&lt;1)</formula>
    </cfRule>
  </conditionalFormatting>
  <conditionalFormatting sqref="N30:N39">
    <cfRule type="expression" priority="10" dxfId="2" stopIfTrue="1">
      <formula>=AND(N30&lt;&gt;"",N30&gt;12)</formula>
    </cfRule>
    <cfRule type="expression" priority="11" dxfId="3" stopIfTrue="1">
      <formula>=AND(N30&lt;&gt;"",N30=12)</formula>
    </cfRule>
    <cfRule type="expression" priority="12" dxfId="4" stopIfTrue="0">
      <formula>=AND(N30&lt;&gt;"",N30&lt;12)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2025-12-31T10:12:35Z</dcterms:created>
  <dcterms:modified xmlns:dcterms="http://purl.org/dc/terms/" xmlns:xsi="http://www.w3.org/2001/XMLSchema-instance" xsi:type="dcterms:W3CDTF">2026-01-02T08:32:20Z</dcterms:modified>
</cp:coreProperties>
</file>