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nanan\Downloads\"/>
    </mc:Choice>
  </mc:AlternateContent>
  <xr:revisionPtr revIDLastSave="0" documentId="13_ncr:1_{4B4F9AD5-4534-4BBE-8E4D-D5F2702B6F98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Instructions" sheetId="1" r:id="rId1"/>
    <sheet name="Lists" sheetId="2" r:id="rId2"/>
    <sheet name="Projects" sheetId="3" r:id="rId3"/>
    <sheet name="Allocations" sheetId="4" r:id="rId4"/>
    <sheet name="Summary" sheetId="5" r:id="rId5"/>
  </sheets>
  <definedNames>
    <definedName name="DevelopersList">Lists!$A$2:$A$50</definedName>
    <definedName name="MonthsList">Lists!$B$2:$B$13</definedName>
    <definedName name="ProjectsList">Projects!$A$2:$A$50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9" i="5" l="1"/>
  <c r="A38" i="5"/>
  <c r="A37" i="5"/>
  <c r="A36" i="5"/>
  <c r="A35" i="5"/>
  <c r="A34" i="5"/>
  <c r="A33" i="5"/>
  <c r="A32" i="5"/>
  <c r="A31" i="5"/>
  <c r="A30" i="5"/>
  <c r="A23" i="5"/>
  <c r="M23" i="5" s="1"/>
  <c r="A22" i="5"/>
  <c r="M22" i="5" s="1"/>
  <c r="A21" i="5"/>
  <c r="M21" i="5" s="1"/>
  <c r="A20" i="5"/>
  <c r="M20" i="5" s="1"/>
  <c r="A19" i="5"/>
  <c r="M19" i="5" s="1"/>
  <c r="A18" i="5"/>
  <c r="M18" i="5" s="1"/>
  <c r="A17" i="5"/>
  <c r="M17" i="5" s="1"/>
  <c r="A16" i="5"/>
  <c r="M16" i="5" s="1"/>
  <c r="A15" i="5"/>
  <c r="M15" i="5" s="1"/>
  <c r="A14" i="5"/>
  <c r="M14" i="5" s="1"/>
  <c r="A13" i="5"/>
  <c r="M13" i="5" s="1"/>
  <c r="A12" i="5"/>
  <c r="M12" i="5" s="1"/>
  <c r="A11" i="5"/>
  <c r="M11" i="5" s="1"/>
  <c r="A10" i="5"/>
  <c r="M10" i="5" s="1"/>
  <c r="A9" i="5"/>
  <c r="M9" i="5" s="1"/>
  <c r="A8" i="5"/>
  <c r="M8" i="5" s="1"/>
  <c r="A7" i="5"/>
  <c r="M7" i="5" s="1"/>
  <c r="A6" i="5"/>
  <c r="M6" i="5" s="1"/>
  <c r="A5" i="5"/>
  <c r="M5" i="5" s="1"/>
  <c r="A4" i="5"/>
  <c r="M4" i="5" s="1"/>
  <c r="F52" i="4"/>
  <c r="E52" i="4"/>
  <c r="D52" i="4"/>
  <c r="C52" i="4"/>
  <c r="F51" i="4"/>
  <c r="E51" i="4"/>
  <c r="D51" i="4"/>
  <c r="C51" i="4"/>
  <c r="F50" i="4"/>
  <c r="E50" i="4"/>
  <c r="D50" i="4"/>
  <c r="C50" i="4"/>
  <c r="F49" i="4"/>
  <c r="E49" i="4"/>
  <c r="D49" i="4"/>
  <c r="C49" i="4"/>
  <c r="F48" i="4"/>
  <c r="E48" i="4"/>
  <c r="D48" i="4"/>
  <c r="C48" i="4"/>
  <c r="F47" i="4"/>
  <c r="E47" i="4"/>
  <c r="D47" i="4"/>
  <c r="C47" i="4"/>
  <c r="F46" i="4"/>
  <c r="E46" i="4"/>
  <c r="D46" i="4"/>
  <c r="C46" i="4"/>
  <c r="F45" i="4"/>
  <c r="E45" i="4"/>
  <c r="D45" i="4"/>
  <c r="C45" i="4"/>
  <c r="F44" i="4"/>
  <c r="E44" i="4"/>
  <c r="D44" i="4"/>
  <c r="C44" i="4"/>
  <c r="F43" i="4"/>
  <c r="E43" i="4"/>
  <c r="D43" i="4"/>
  <c r="C43" i="4"/>
  <c r="F42" i="4"/>
  <c r="E42" i="4"/>
  <c r="D42" i="4"/>
  <c r="C42" i="4"/>
  <c r="F41" i="4"/>
  <c r="E41" i="4"/>
  <c r="D41" i="4"/>
  <c r="C41" i="4"/>
  <c r="F40" i="4"/>
  <c r="E40" i="4"/>
  <c r="D40" i="4"/>
  <c r="C40" i="4"/>
  <c r="F39" i="4"/>
  <c r="E39" i="4"/>
  <c r="D39" i="4"/>
  <c r="C39" i="4"/>
  <c r="F38" i="4"/>
  <c r="E38" i="4"/>
  <c r="D38" i="4"/>
  <c r="C38" i="4"/>
  <c r="F37" i="4"/>
  <c r="E37" i="4"/>
  <c r="D37" i="4"/>
  <c r="C37" i="4"/>
  <c r="F36" i="4"/>
  <c r="E36" i="4"/>
  <c r="D36" i="4"/>
  <c r="C36" i="4"/>
  <c r="F35" i="4"/>
  <c r="E35" i="4"/>
  <c r="D35" i="4"/>
  <c r="C35" i="4"/>
  <c r="F34" i="4"/>
  <c r="E34" i="4"/>
  <c r="D34" i="4"/>
  <c r="C34" i="4"/>
  <c r="F33" i="4"/>
  <c r="E33" i="4"/>
  <c r="D33" i="4"/>
  <c r="C33" i="4"/>
  <c r="F32" i="4"/>
  <c r="E32" i="4"/>
  <c r="D32" i="4"/>
  <c r="C32" i="4"/>
  <c r="F31" i="4"/>
  <c r="E31" i="4"/>
  <c r="D31" i="4"/>
  <c r="C31" i="4"/>
  <c r="F30" i="4"/>
  <c r="E30" i="4"/>
  <c r="D30" i="4"/>
  <c r="C30" i="4"/>
  <c r="F29" i="4"/>
  <c r="E29" i="4"/>
  <c r="D29" i="4"/>
  <c r="C29" i="4"/>
  <c r="F28" i="4"/>
  <c r="E28" i="4"/>
  <c r="D28" i="4"/>
  <c r="C28" i="4"/>
  <c r="F27" i="4"/>
  <c r="E27" i="4"/>
  <c r="D27" i="4"/>
  <c r="C27" i="4"/>
  <c r="F26" i="4"/>
  <c r="E26" i="4"/>
  <c r="D26" i="4"/>
  <c r="C26" i="4"/>
  <c r="F25" i="4"/>
  <c r="E25" i="4"/>
  <c r="D25" i="4"/>
  <c r="C25" i="4"/>
  <c r="F24" i="4"/>
  <c r="E24" i="4"/>
  <c r="D24" i="4"/>
  <c r="C24" i="4"/>
  <c r="F23" i="4"/>
  <c r="E23" i="4"/>
  <c r="D23" i="4"/>
  <c r="C23" i="4"/>
  <c r="F22" i="4"/>
  <c r="E22" i="4"/>
  <c r="D22" i="4"/>
  <c r="C22" i="4"/>
  <c r="F21" i="4"/>
  <c r="E21" i="4"/>
  <c r="D21" i="4"/>
  <c r="C21" i="4"/>
  <c r="F20" i="4"/>
  <c r="E20" i="4"/>
  <c r="D20" i="4"/>
  <c r="C20" i="4"/>
  <c r="F19" i="4"/>
  <c r="E19" i="4"/>
  <c r="D19" i="4"/>
  <c r="C19" i="4"/>
  <c r="F18" i="4"/>
  <c r="E18" i="4"/>
  <c r="D18" i="4"/>
  <c r="C18" i="4"/>
  <c r="F17" i="4"/>
  <c r="E17" i="4"/>
  <c r="D17" i="4"/>
  <c r="C17" i="4"/>
  <c r="F16" i="4"/>
  <c r="E16" i="4"/>
  <c r="D16" i="4"/>
  <c r="C16" i="4"/>
  <c r="F15" i="4"/>
  <c r="E15" i="4"/>
  <c r="D15" i="4"/>
  <c r="C15" i="4"/>
  <c r="F14" i="4"/>
  <c r="E14" i="4"/>
  <c r="D14" i="4"/>
  <c r="C14" i="4"/>
  <c r="F13" i="4"/>
  <c r="E13" i="4"/>
  <c r="D13" i="4"/>
  <c r="C13" i="4"/>
  <c r="F12" i="4"/>
  <c r="E12" i="4"/>
  <c r="D12" i="4"/>
  <c r="C12" i="4"/>
  <c r="F11" i="4"/>
  <c r="E11" i="4"/>
  <c r="D11" i="4"/>
  <c r="C11" i="4"/>
  <c r="F10" i="4"/>
  <c r="E7" i="4"/>
  <c r="F6" i="4"/>
  <c r="E6" i="4"/>
  <c r="D6" i="4"/>
  <c r="C6" i="4"/>
  <c r="D5" i="4"/>
  <c r="C5" i="4"/>
  <c r="D4" i="4"/>
  <c r="C4" i="4"/>
  <c r="F3" i="4"/>
  <c r="E3" i="4"/>
  <c r="D3" i="4"/>
  <c r="C3" i="4"/>
  <c r="E25" i="3"/>
  <c r="D25" i="3"/>
  <c r="F25" i="3" s="1"/>
  <c r="E24" i="3"/>
  <c r="D24" i="3"/>
  <c r="F24" i="3" s="1"/>
  <c r="E23" i="3"/>
  <c r="D23" i="3"/>
  <c r="F23" i="3" s="1"/>
  <c r="E22" i="3"/>
  <c r="F22" i="3" s="1"/>
  <c r="D22" i="3"/>
  <c r="E21" i="3"/>
  <c r="D21" i="3"/>
  <c r="F21" i="3" s="1"/>
  <c r="E20" i="3"/>
  <c r="F20" i="3" s="1"/>
  <c r="D20" i="3"/>
  <c r="E19" i="3"/>
  <c r="D19" i="3"/>
  <c r="F19" i="3" s="1"/>
  <c r="E18" i="3"/>
  <c r="D18" i="3"/>
  <c r="F18" i="3" s="1"/>
  <c r="F17" i="3"/>
  <c r="E17" i="3"/>
  <c r="D17" i="3"/>
  <c r="E16" i="3"/>
  <c r="D16" i="3"/>
  <c r="F16" i="3" s="1"/>
  <c r="F15" i="3"/>
  <c r="E15" i="3"/>
  <c r="D15" i="3"/>
  <c r="E14" i="3"/>
  <c r="D14" i="3"/>
  <c r="F14" i="3" s="1"/>
  <c r="E13" i="3"/>
  <c r="D13" i="3"/>
  <c r="F13" i="3" s="1"/>
  <c r="F12" i="3"/>
  <c r="E12" i="3"/>
  <c r="D12" i="3"/>
  <c r="E11" i="3"/>
  <c r="D11" i="3"/>
  <c r="F11" i="3" s="1"/>
  <c r="E10" i="3"/>
  <c r="D10" i="3"/>
  <c r="F10" i="3" s="1"/>
  <c r="E9" i="3"/>
  <c r="D9" i="3"/>
  <c r="F9" i="3" s="1"/>
  <c r="E8" i="3"/>
  <c r="F8" i="3" s="1"/>
  <c r="D8" i="3"/>
  <c r="E7" i="3"/>
  <c r="D7" i="3"/>
  <c r="E6" i="3"/>
  <c r="D6" i="3"/>
  <c r="E5" i="3"/>
  <c r="D5" i="3"/>
  <c r="E4" i="3"/>
  <c r="D4" i="3"/>
  <c r="F4" i="3" s="1"/>
  <c r="F3" i="3"/>
  <c r="E3" i="3"/>
  <c r="F4" i="4" s="1"/>
  <c r="D3" i="3"/>
  <c r="E4" i="4" s="1"/>
  <c r="E2" i="3"/>
  <c r="F9" i="4" s="1"/>
  <c r="D2" i="3"/>
  <c r="E10" i="4" s="1"/>
  <c r="M24" i="5" l="1"/>
  <c r="B30" i="5"/>
  <c r="B31" i="5"/>
  <c r="B32" i="5"/>
  <c r="B37" i="5"/>
  <c r="B4" i="5"/>
  <c r="B7" i="5"/>
  <c r="B11" i="5"/>
  <c r="B12" i="5"/>
  <c r="B15" i="5"/>
  <c r="B21" i="5"/>
  <c r="C39" i="5"/>
  <c r="C4" i="5"/>
  <c r="C5" i="5"/>
  <c r="C6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D30" i="5"/>
  <c r="D31" i="5"/>
  <c r="D32" i="5"/>
  <c r="D33" i="5"/>
  <c r="D34" i="5"/>
  <c r="D35" i="5"/>
  <c r="D36" i="5"/>
  <c r="D37" i="5"/>
  <c r="D38" i="5"/>
  <c r="D39" i="5"/>
  <c r="F7" i="4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E30" i="5"/>
  <c r="E31" i="5"/>
  <c r="E32" i="5"/>
  <c r="E33" i="5"/>
  <c r="E34" i="5"/>
  <c r="E35" i="5"/>
  <c r="E36" i="5"/>
  <c r="E37" i="5"/>
  <c r="E38" i="5"/>
  <c r="E39" i="5"/>
  <c r="B33" i="5"/>
  <c r="B6" i="5"/>
  <c r="B10" i="5"/>
  <c r="B14" i="5"/>
  <c r="B17" i="5"/>
  <c r="B19" i="5"/>
  <c r="C30" i="5"/>
  <c r="C37" i="5"/>
  <c r="E5" i="5"/>
  <c r="E14" i="5"/>
  <c r="E17" i="5"/>
  <c r="E18" i="5"/>
  <c r="E19" i="5"/>
  <c r="E20" i="5"/>
  <c r="E21" i="5"/>
  <c r="E22" i="5"/>
  <c r="E23" i="5"/>
  <c r="F30" i="5"/>
  <c r="F31" i="5"/>
  <c r="F32" i="5"/>
  <c r="F33" i="5"/>
  <c r="F34" i="5"/>
  <c r="F35" i="5"/>
  <c r="F36" i="5"/>
  <c r="F37" i="5"/>
  <c r="F38" i="5"/>
  <c r="F39" i="5"/>
  <c r="B34" i="5"/>
  <c r="B5" i="5"/>
  <c r="B9" i="5"/>
  <c r="B13" i="5"/>
  <c r="B16" i="5"/>
  <c r="B18" i="5"/>
  <c r="B20" i="5"/>
  <c r="B22" i="5"/>
  <c r="C31" i="5"/>
  <c r="C36" i="5"/>
  <c r="E4" i="5"/>
  <c r="E6" i="5"/>
  <c r="E8" i="5"/>
  <c r="E13" i="5"/>
  <c r="E16" i="5"/>
  <c r="F5" i="3"/>
  <c r="E8" i="4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G30" i="5"/>
  <c r="G31" i="5"/>
  <c r="G32" i="5"/>
  <c r="G33" i="5"/>
  <c r="G34" i="5"/>
  <c r="G35" i="5"/>
  <c r="G36" i="5"/>
  <c r="G37" i="5"/>
  <c r="G38" i="5"/>
  <c r="G39" i="5"/>
  <c r="B35" i="5"/>
  <c r="C34" i="5"/>
  <c r="E15" i="5"/>
  <c r="F8" i="4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H30" i="5"/>
  <c r="H31" i="5"/>
  <c r="H32" i="5"/>
  <c r="H33" i="5"/>
  <c r="H34" i="5"/>
  <c r="H35" i="5"/>
  <c r="H36" i="5"/>
  <c r="H37" i="5"/>
  <c r="H38" i="5"/>
  <c r="H39" i="5"/>
  <c r="B8" i="5"/>
  <c r="C38" i="5"/>
  <c r="E7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I30" i="5"/>
  <c r="I31" i="5"/>
  <c r="I32" i="5"/>
  <c r="I33" i="5"/>
  <c r="I34" i="5"/>
  <c r="I35" i="5"/>
  <c r="I36" i="5"/>
  <c r="I37" i="5"/>
  <c r="I38" i="5"/>
  <c r="I39" i="5"/>
  <c r="C33" i="5"/>
  <c r="E9" i="5"/>
  <c r="F6" i="3"/>
  <c r="E5" i="4"/>
  <c r="E9" i="4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J30" i="5"/>
  <c r="J31" i="5"/>
  <c r="J32" i="5"/>
  <c r="J33" i="5"/>
  <c r="J34" i="5"/>
  <c r="J35" i="5"/>
  <c r="J36" i="5"/>
  <c r="J37" i="5"/>
  <c r="J38" i="5"/>
  <c r="J39" i="5"/>
  <c r="B39" i="5"/>
  <c r="C32" i="5"/>
  <c r="E11" i="5"/>
  <c r="F5" i="4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K30" i="5"/>
  <c r="K31" i="5"/>
  <c r="K32" i="5"/>
  <c r="K33" i="5"/>
  <c r="K34" i="5"/>
  <c r="K35" i="5"/>
  <c r="K36" i="5"/>
  <c r="K37" i="5"/>
  <c r="K38" i="5"/>
  <c r="K39" i="5"/>
  <c r="B36" i="5"/>
  <c r="C35" i="5"/>
  <c r="E10" i="5"/>
  <c r="F2" i="3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L30" i="5"/>
  <c r="L31" i="5"/>
  <c r="L32" i="5"/>
  <c r="L33" i="5"/>
  <c r="L34" i="5"/>
  <c r="L35" i="5"/>
  <c r="L36" i="5"/>
  <c r="L37" i="5"/>
  <c r="L38" i="5"/>
  <c r="L39" i="5"/>
  <c r="B38" i="5"/>
  <c r="B23" i="5"/>
  <c r="C7" i="5"/>
  <c r="E12" i="5"/>
  <c r="F7" i="3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M30" i="5"/>
  <c r="M31" i="5"/>
  <c r="M32" i="5"/>
  <c r="M33" i="5"/>
  <c r="M34" i="5"/>
  <c r="M35" i="5"/>
  <c r="M36" i="5"/>
  <c r="M37" i="5"/>
  <c r="M38" i="5"/>
  <c r="M39" i="5"/>
  <c r="G24" i="5" l="1"/>
  <c r="K24" i="5"/>
  <c r="B24" i="5"/>
  <c r="F24" i="5"/>
  <c r="I24" i="5"/>
  <c r="H24" i="5"/>
  <c r="J24" i="5"/>
  <c r="D24" i="5"/>
  <c r="L24" i="5"/>
  <c r="C24" i="5"/>
  <c r="E24" i="5"/>
</calcChain>
</file>

<file path=xl/sharedStrings.xml><?xml version="1.0" encoding="utf-8"?>
<sst xmlns="http://schemas.openxmlformats.org/spreadsheetml/2006/main" count="124" uniqueCount="45">
  <si>
    <t>Yearly Project Plan Template (Sample)</t>
  </si>
  <si>
    <t>How to use:</t>
  </si>
  <si>
    <t>1) Projects sheet: define each project's Start Month and End Month (Jan–Dec). StartIdx/EndIdx/Duration are calculated.</t>
  </si>
  <si>
    <t>2) Allocations sheet: add one row per Developer–Project assignment. Choose Developer and Project from dropdowns.</t>
  </si>
  <si>
    <t>3) Enter monthly effort as a fraction (0.00 to 1.00). You can only enter effort within the project's active months.</t>
  </si>
  <si>
    <t xml:space="preserve">   • Outside active months: cell must be blank (validated) and is shaded grey.</t>
  </si>
  <si>
    <t>4) Summary sheet: project totals by month + developer utilization by month (cells turn red if utilization is &lt;1 or &gt;1).</t>
  </si>
  <si>
    <t>Tip: Add more developers on the Lists sheet and more projects on the Projects sheet—dropdowns update automatically.</t>
  </si>
  <si>
    <t>Developers</t>
  </si>
  <si>
    <t>Months</t>
  </si>
  <si>
    <t>Dev 1</t>
  </si>
  <si>
    <t>Jan</t>
  </si>
  <si>
    <t>Dev 2</t>
  </si>
  <si>
    <t>Feb</t>
  </si>
  <si>
    <t>Dev 3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</si>
  <si>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</si>
  <si>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</si>
  <si>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</si>
  <si>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</si>
  <si>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</si>
  <si>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</si>
  <si>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</si>
  <si>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</si>
  <si>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</si>
  <si>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</si>
  <si>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Project</t>
  </si>
  <si>
    <t>Start Month</t>
  </si>
  <si>
    <t>End Month</t>
  </si>
  <si>
    <t>StartIdx</t>
  </si>
  <si>
    <t>EndIdx</t>
  </si>
  <si>
    <t>Duration (months)</t>
  </si>
  <si>
    <t>Notes</t>
  </si>
  <si>
    <t>Project A</t>
  </si>
  <si>
    <t>Example 3-month project</t>
  </si>
  <si>
    <t>Project B</t>
  </si>
  <si>
    <t>Example 5-month project</t>
  </si>
  <si>
    <t>Project C</t>
  </si>
  <si>
    <t>Example 2-month project</t>
  </si>
  <si>
    <t>Project D</t>
  </si>
  <si>
    <t>Project E</t>
  </si>
  <si>
    <t>Project F</t>
  </si>
  <si>
    <t>Developer</t>
  </si>
  <si>
    <t>Project summary (effort by month)</t>
  </si>
  <si>
    <t>TOTAL (all projects)</t>
  </si>
  <si>
    <t>Developer utilization (total effort by month)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</si>
</sst>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b/>
      <sz val="11"/>
      <name val="Calibri"/>
    </font>
    <font>
      <b/>
      <sz val="1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1" fillId="2" borderId="0" xfId="0" applyFont="1" applyFill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/>
    </xf>
    <xf numFmtId="0" fontId="2" fillId="0" borderId="0" xfId="0" applyFont="1"/>
    <xf numFmtId="0" fontId="0" fillId="0" borderId="1" xfId="0" applyBorder="1"/>
    <xf numFmtId="2" fontId="0" fillId="0" borderId="1" xfId="0" applyNumberFormat="1" applyBorder="1"/>
    <xf numFmtId="0" fontId="3" fillId="3" borderId="1" xfId="0" applyFont="1" applyFill="1" applyBorder="1"/>
    <xf numFmtId="2" fontId="3" fillId="3" borderId="1" xfId="0" applyNumberFormat="1" applyFont="1" applyFill="1" applyBorder="1"/>
  </cellXfs>
  <cellStyles count="1">
    <cellStyle name="Normal" xfId="0" builtinId="0"/>
  </cellStyles>
  <dxfs count="27">
    <dxf>
      <font>
        <color theme="1"/>
      </font>
      <fill>
        <patternFill patternType="solid">
          <fgColor rgb="FFFFD966"/>
          <bgColor rgb="FFFFC000"/>
        </patternFill>
      </fill>
    </dxf>
    <dxf>
      <font>
        <color theme="1"/>
      </font>
      <fill>
        <patternFill patternType="solid">
          <fgColor rgb="FFC6EFCE"/>
          <bgColor rgb="FF92D050"/>
        </patternFill>
      </fill>
    </dxf>
    <dxf>
      <font>
        <color theme="0"/>
      </font>
      <fill>
        <patternFill patternType="solid">
          <fgColor rgb="FFFFC7CE"/>
          <bgColor rgb="FFFF0000"/>
        </patternFill>
      </fill>
    </dxf>
    <dxf>
      <font>
        <color theme="0"/>
      </font>
      <fill>
        <patternFill patternType="solid">
          <fgColor rgb="FFFFC7CE"/>
          <bgColor rgb="FFFF0000"/>
        </patternFill>
      </fill>
    </dxf>
    <dxf>
      <font>
        <color theme="1"/>
      </font>
      <fill>
        <patternFill patternType="solid">
          <fgColor rgb="FFFFD966"/>
          <bgColor rgb="FFFFC000"/>
        </patternFill>
      </fill>
    </dxf>
    <dxf>
      <font>
        <color theme="1"/>
      </font>
      <fill>
        <patternFill patternType="solid">
          <fgColor rgb="FFC6EFCE"/>
          <bgColor rgb="FF92D050"/>
        </patternFill>
      </fill>
    </dxf>
    <dxf>
      <font>
        <color theme="0"/>
      </font>
      <fill>
        <patternFill patternType="solid">
          <fgColor rgb="FFFFC7CE"/>
          <bgColor theme="0"/>
        </patternFill>
      </fill>
    </dxf>
    <dxf>
      <font>
        <color theme="1"/>
      </font>
      <fill>
        <patternFill patternType="solid">
          <fgColor rgb="FFFFD966"/>
          <bgColor rgb="FFFFC000"/>
        </patternFill>
      </fill>
    </dxf>
    <dxf>
      <font>
        <color theme="1"/>
      </font>
      <fill>
        <patternFill patternType="solid">
          <fgColor rgb="FFC6EFCE"/>
          <bgColor rgb="FF92D050"/>
        </patternFill>
      </fill>
    </dxf>
    <dxf>
      <font>
        <color theme="0"/>
      </font>
      <fill>
        <patternFill patternType="solid">
          <fgColor rgb="FFFFC7CE"/>
          <bgColor rgb="FFFF0000"/>
        </patternFill>
      </fill>
    </dxf>
    <dxf>
      <font>
        <color theme="0"/>
      </font>
      <fill>
        <patternFill patternType="solid">
          <fgColor rgb="FFFFC7CE"/>
          <bgColor theme="0"/>
        </patternFill>
      </fill>
    </dxf>
    <dxf>
      <font>
        <color theme="1"/>
      </font>
      <fill>
        <patternFill patternType="solid">
          <fgColor rgb="FFFFD966"/>
          <bgColor rgb="FFFFC000"/>
        </patternFill>
      </fill>
    </dxf>
    <dxf>
      <font>
        <color theme="1"/>
      </font>
      <fill>
        <patternFill patternType="solid">
          <fgColor rgb="FFC6EFCE"/>
          <bgColor rgb="FF92D050"/>
        </patternFill>
      </fill>
    </dxf>
    <dxf>
      <font>
        <color theme="0"/>
      </font>
      <fill>
        <patternFill patternType="solid">
          <fgColor rgb="FFFFC7CE"/>
          <bgColor rgb="FFFF0000"/>
        </patternFill>
      </fill>
    </dxf>
    <dxf>
      <font>
        <color theme="1"/>
      </font>
      <fill>
        <patternFill patternType="solid">
          <fgColor rgb="FFFFD966"/>
          <bgColor rgb="FFFFC000"/>
        </patternFill>
      </fill>
    </dxf>
    <dxf>
      <font>
        <color theme="1"/>
      </font>
      <fill>
        <patternFill patternType="solid">
          <fgColor rgb="FFC6EFCE"/>
          <bgColor rgb="FF92D050"/>
        </patternFill>
      </fill>
    </dxf>
    <dxf>
      <font>
        <color theme="0"/>
      </font>
      <fill>
        <patternFill patternType="solid">
          <fgColor rgb="FFFFC7CE"/>
          <bgColor rgb="FFFF0000"/>
        </patternFill>
      </fill>
    </dxf>
    <dxf>
      <font>
        <color theme="0"/>
      </font>
      <fill>
        <patternFill patternType="solid">
          <fgColor rgb="FFFFD966"/>
          <bgColor rgb="FFFFC000"/>
        </patternFill>
      </fill>
    </dxf>
    <dxf>
      <font>
        <color theme="0"/>
      </font>
      <fill>
        <patternFill patternType="solid">
          <fgColor rgb="FFC6EFCE"/>
          <bgColor rgb="FF00B050"/>
        </patternFill>
      </fill>
    </dxf>
    <dxf>
      <font>
        <color theme="0"/>
      </font>
      <fill>
        <patternFill patternType="solid">
          <fgColor rgb="FFFFC7CE"/>
          <bgColor rgb="FFFF0000"/>
        </patternFill>
      </fill>
    </dxf>
    <dxf>
      <fill>
        <patternFill patternType="solid">
          <fgColor rgb="FFFFD966"/>
        </patternFill>
      </fill>
    </dxf>
    <dxf>
      <font>
        <color theme="0"/>
      </font>
      <fill>
        <patternFill patternType="solid">
          <fgColor rgb="FFC6EFCE"/>
          <bgColor rgb="FF00B050"/>
        </patternFill>
      </fill>
    </dxf>
    <dxf>
      <font>
        <color theme="0"/>
      </font>
      <fill>
        <patternFill patternType="solid">
          <fgColor rgb="FFFFC7CE"/>
          <bgColor rgb="FFFF0000"/>
        </patternFill>
      </fill>
    </dxf>
    <dxf>
      <fill>
        <patternFill patternType="solid">
          <fgColor rgb="FFFFD966"/>
        </patternFill>
      </fill>
    </dxf>
    <dxf>
      <fill>
        <patternFill patternType="solid">
          <fgColor rgb="FFC6EFCE"/>
        </patternFill>
      </fill>
    </dxf>
    <dxf>
      <font>
        <color theme="0"/>
      </font>
      <fill>
        <patternFill patternType="solid">
          <fgColor rgb="FFFFC7CE"/>
          <bgColor rgb="FFFF0000"/>
        </patternFill>
      </fill>
    </dxf>
    <dxf>
      <fill>
        <patternFill patternType="solid">
          <fgColor rgb="FFF2F2F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workbookViewId="0">
      <selection activeCell="A30" sqref="A30"/>
    </sheetView>
  </sheetViews>
  <sheetFormatPr defaultRowHeight="14.4" x14ac:dyDescent="0.3"/>
  <cols>
    <col min="1" max="1" width="110" customWidth="1"/>
  </cols>
  <sheetData>
    <row r="1" spans="1:1" ht="21" x14ac:dyDescent="0.4">
      <c r="A1" s="1" t="s">
        <v>0</v>
      </c>
    </row>
    <row r="3" spans="1:1" x14ac:dyDescent="0.3">
      <c r="A3" s="2" t="s">
        <v>1</v>
      </c>
    </row>
    <row r="4" spans="1:1" x14ac:dyDescent="0.3">
      <c r="A4" s="3" t="s">
        <v>2</v>
      </c>
    </row>
    <row r="5" spans="1:1" x14ac:dyDescent="0.3">
      <c r="A5" s="3" t="s">
        <v>3</v>
      </c>
    </row>
    <row r="6" spans="1:1" x14ac:dyDescent="0.3">
      <c r="A6" s="3" t="s">
        <v>4</v>
      </c>
    </row>
    <row r="7" spans="1:1" x14ac:dyDescent="0.3">
      <c r="A7" s="3" t="s">
        <v>5</v>
      </c>
    </row>
    <row r="8" spans="1:1" x14ac:dyDescent="0.3">
      <c r="A8" s="3" t="s">
        <v>6</v>
      </c>
    </row>
    <row r="9" spans="1:1" x14ac:dyDescent="0.3">
      <c r="A9" s="3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pane ySplit="1" topLeftCell="A2" activePane="bottomLeft" state="frozen"/>
      <selection pane="bottomLeft" activeCell="D27" sqref="D27"/>
    </sheetView>
  </sheetViews>
  <sheetFormatPr defaultRowHeight="14.4" x14ac:dyDescent="0.3"/>
  <cols>
    <col min="1" max="2" width="18" customWidth="1"/>
  </cols>
  <sheetData>
    <row r="1" spans="1:2" x14ac:dyDescent="0.3">
      <c r="A1" s="4" t="s">
        <v>8</v>
      </c>
      <c r="B1" s="4" t="s">
        <v>9</v>
      </c>
    </row>
    <row r="2" spans="1:2" x14ac:dyDescent="0.3">
      <c r="A2" t="s">
        <v>10</v>
      </c>
      <c r="B2" t="s">
        <v>11</v>
      </c>
    </row>
    <row r="3" spans="1:2" x14ac:dyDescent="0.3">
      <c r="A3" t="s">
        <v>12</v>
      </c>
      <c r="B3" t="s">
        <v>13</v>
      </c>
    </row>
    <row r="4" spans="1:2" x14ac:dyDescent="0.3">
      <c r="A4" t="s">
        <v>14</v>
      </c>
      <c r="B4" t="s">
        <v>15</v>
      </c>
    </row>
    <row r="5" spans="1:2" x14ac:dyDescent="0.3">
      <c r="B5" t="s">
        <v>16</v>
      </c>
    </row>
    <row r="6" spans="1:2" x14ac:dyDescent="0.3">
      <c r="B6" t="s">
        <v>17</v>
      </c>
    </row>
    <row r="7" spans="1:2" x14ac:dyDescent="0.3">
      <c r="B7" t="s">
        <v>18</v>
      </c>
    </row>
    <row r="8" spans="1:2" x14ac:dyDescent="0.3">
      <c r="B8" t="s">
        <v>19</v>
      </c>
    </row>
    <row r="9" spans="1:2" x14ac:dyDescent="0.3">
      <c r="B9" t="s">
        <v>20</v>
      </c>
    </row>
    <row r="10" spans="1:2" x14ac:dyDescent="0.3">
      <c r="B10" t="s">
        <v>21</v>
      </c>
    </row>
    <row r="11" spans="1:2" x14ac:dyDescent="0.3">
      <c r="B11" t="s">
        <v>22</v>
      </c>
    </row>
    <row r="12" spans="1:2" x14ac:dyDescent="0.3">
      <c r="B12" t="s">
        <v>23</v>
      </c>
    </row>
    <row r="13" spans="1:2" x14ac:dyDescent="0.3">
      <c r="B13" t="s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5"/>
  <sheetViews>
    <sheetView workbookViewId="0">
      <pane ySplit="1" topLeftCell="A2" activePane="bottomLeft" state="frozen"/>
      <selection pane="bottomLeft" activeCell="E6" sqref="E6"/>
    </sheetView>
  </sheetViews>
  <sheetFormatPr defaultRowHeight="14.4" x14ac:dyDescent="0.3"/>
  <cols>
    <col min="1" max="1" width="18" customWidth="1"/>
    <col min="2" max="3" width="14" customWidth="1"/>
    <col min="4" max="5" width="10" customWidth="1"/>
    <col min="6" max="6" width="16" customWidth="1"/>
    <col min="7" max="7" width="30" customWidth="1"/>
  </cols>
  <sheetData>
    <row r="1" spans="1:7" x14ac:dyDescent="0.3">
      <c r="A1" s="5" t="s">
        <v>25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30</v>
      </c>
      <c r="G1" s="5" t="s">
        <v>31</v>
      </c>
    </row>
    <row r="2" spans="1:7" x14ac:dyDescent="0.3">
      <c r="A2" s="6" t="s">
        <v>32</v>
      </c>
      <c r="B2" s="6" t="s">
        <v>11</v>
      </c>
      <c r="C2" s="6" t="s">
        <v>15</v>
      </c>
      <c r="D2" s="7">
        <f t="shared" ref="D2:E4" si="0">IFERROR(MATCH(B2,MonthsList,0),"")</f>
        <v>1</v>
      </c>
      <c r="E2" s="7">
        <f t="shared" si="0"/>
        <v>3</v>
      </c>
      <c r="F2" s="7">
        <f>IF(AND(D2&lt;&gt;"",E2&lt;&gt;""),E2-D2+1,"")</f>
        <v>3</v>
      </c>
      <c r="G2" s="6" t="s">
        <v>33</v>
      </c>
    </row>
    <row r="3" spans="1:7" x14ac:dyDescent="0.3">
      <c r="A3" s="6" t="s">
        <v>34</v>
      </c>
      <c r="B3" s="6" t="s">
        <v>11</v>
      </c>
      <c r="C3" s="6" t="s">
        <v>17</v>
      </c>
      <c r="D3" s="7">
        <f t="shared" si="0"/>
        <v>1</v>
      </c>
      <c r="E3" s="7">
        <f t="shared" si="0"/>
        <v>5</v>
      </c>
      <c r="F3" s="7">
        <f>IF(AND(D3&lt;&gt;"",E3&lt;&gt;""),E3-D3+1,"")</f>
        <v>5</v>
      </c>
      <c r="G3" s="6" t="s">
        <v>35</v>
      </c>
    </row>
    <row r="4" spans="1:7" x14ac:dyDescent="0.3">
      <c r="A4" s="6" t="s">
        <v>36</v>
      </c>
      <c r="B4" s="6" t="s">
        <v>11</v>
      </c>
      <c r="C4" s="6" t="s">
        <v>13</v>
      </c>
      <c r="D4" s="7">
        <f t="shared" si="0"/>
        <v>1</v>
      </c>
      <c r="E4" s="7">
        <f t="shared" si="0"/>
        <v>2</v>
      </c>
      <c r="F4" s="7">
        <f>IF(AND(D4&lt;&gt;"",E4&lt;&gt;""),E4-D4+1,"")</f>
        <v>2</v>
      </c>
      <c r="G4" s="6" t="s">
        <v>37</v>
      </c>
    </row>
    <row r="5" spans="1:7" x14ac:dyDescent="0.3">
      <c r="A5" s="6" t="s">
        <v>38</v>
      </c>
      <c r="B5" s="6" t="s">
        <v>19</v>
      </c>
      <c r="C5" s="6" t="s">
        <v>21</v>
      </c>
      <c r="D5" s="7">
        <f>IFERROR(MATCH(B2,MonthsList,0),"")</f>
        <v>1</v>
      </c>
      <c r="E5" s="7">
        <f>IFERROR(MATCH(C2,MonthsList,0),"")</f>
        <v>3</v>
      </c>
      <c r="F5" s="7">
        <f>IF(AND(D2&lt;&gt;"",E2&lt;&gt;""),E2-D2+1,"")</f>
        <v>3</v>
      </c>
      <c r="G5" s="6"/>
    </row>
    <row r="6" spans="1:7" x14ac:dyDescent="0.3">
      <c r="A6" s="6" t="s">
        <v>39</v>
      </c>
      <c r="B6" s="6" t="s">
        <v>22</v>
      </c>
      <c r="C6" s="6" t="s">
        <v>24</v>
      </c>
      <c r="D6" s="7">
        <f>IFERROR(MATCH(B2,MonthsList,0),"")</f>
        <v>1</v>
      </c>
      <c r="E6" s="7">
        <f>IFERROR(MATCH(C2,MonthsList,0),"")</f>
        <v>3</v>
      </c>
      <c r="F6" s="7">
        <f>IF(AND(D2&lt;&gt;"",E2&lt;&gt;""),E2-D2+1,"")</f>
        <v>3</v>
      </c>
      <c r="G6" s="6"/>
    </row>
    <row r="7" spans="1:7" x14ac:dyDescent="0.3">
      <c r="A7" s="6" t="s">
        <v>40</v>
      </c>
      <c r="B7" s="6" t="s">
        <v>20</v>
      </c>
      <c r="C7" s="6" t="s">
        <v>23</v>
      </c>
      <c r="D7" s="7">
        <f>IFERROR(MATCH(B2,MonthsList,0),"")</f>
        <v>1</v>
      </c>
      <c r="E7" s="7">
        <f>IFERROR(MATCH(C2,MonthsList,0),"")</f>
        <v>3</v>
      </c>
      <c r="F7" s="7">
        <f>IF(AND(D2&lt;&gt;"",E2&lt;&gt;""),E2-D2+1,"")</f>
        <v>3</v>
      </c>
      <c r="G7" s="6"/>
    </row>
    <row r="8" spans="1:7" x14ac:dyDescent="0.3">
      <c r="A8" s="6"/>
      <c r="B8" s="6"/>
      <c r="C8" s="6"/>
      <c r="D8" s="7" t="str">
        <f t="shared" ref="D8:D25" si="1">IFERROR(MATCH(B8,MonthsList,0),"")</f>
        <v/>
      </c>
      <c r="E8" s="7" t="str">
        <f t="shared" ref="E8:E25" si="2">IFERROR(MATCH(C8,MonthsList,0),"")</f>
        <v/>
      </c>
      <c r="F8" s="7" t="str">
        <f t="shared" ref="F8:F25" si="3">IF(AND(D8&lt;&gt;"",E8&lt;&gt;""),E8-D8+1,"")</f>
        <v/>
      </c>
      <c r="G8" s="6"/>
    </row>
    <row r="9" spans="1:7" x14ac:dyDescent="0.3">
      <c r="A9" s="6"/>
      <c r="B9" s="6"/>
      <c r="C9" s="6"/>
      <c r="D9" s="7" t="str">
        <f t="shared" si="1"/>
        <v/>
      </c>
      <c r="E9" s="7" t="str">
        <f t="shared" si="2"/>
        <v/>
      </c>
      <c r="F9" s="7" t="str">
        <f t="shared" si="3"/>
        <v/>
      </c>
      <c r="G9" s="6"/>
    </row>
    <row r="10" spans="1:7" x14ac:dyDescent="0.3">
      <c r="A10" s="6"/>
      <c r="B10" s="6"/>
      <c r="C10" s="6"/>
      <c r="D10" s="7" t="str">
        <f t="shared" si="1"/>
        <v/>
      </c>
      <c r="E10" s="7" t="str">
        <f t="shared" si="2"/>
        <v/>
      </c>
      <c r="F10" s="7" t="str">
        <f t="shared" si="3"/>
        <v/>
      </c>
      <c r="G10" s="6"/>
    </row>
    <row r="11" spans="1:7" x14ac:dyDescent="0.3">
      <c r="A11" s="6"/>
      <c r="B11" s="6"/>
      <c r="C11" s="6"/>
      <c r="D11" s="7" t="str">
        <f t="shared" si="1"/>
        <v/>
      </c>
      <c r="E11" s="7" t="str">
        <f t="shared" si="2"/>
        <v/>
      </c>
      <c r="F11" s="7" t="str">
        <f t="shared" si="3"/>
        <v/>
      </c>
      <c r="G11" s="6"/>
    </row>
    <row r="12" spans="1:7" x14ac:dyDescent="0.3">
      <c r="A12" s="6"/>
      <c r="B12" s="6"/>
      <c r="C12" s="6"/>
      <c r="D12" s="7" t="str">
        <f t="shared" si="1"/>
        <v/>
      </c>
      <c r="E12" s="7" t="str">
        <f t="shared" si="2"/>
        <v/>
      </c>
      <c r="F12" s="7" t="str">
        <f t="shared" si="3"/>
        <v/>
      </c>
      <c r="G12" s="6"/>
    </row>
    <row r="13" spans="1:7" x14ac:dyDescent="0.3">
      <c r="A13" s="6"/>
      <c r="B13" s="6"/>
      <c r="C13" s="6"/>
      <c r="D13" s="7" t="str">
        <f t="shared" si="1"/>
        <v/>
      </c>
      <c r="E13" s="7" t="str">
        <f t="shared" si="2"/>
        <v/>
      </c>
      <c r="F13" s="7" t="str">
        <f t="shared" si="3"/>
        <v/>
      </c>
      <c r="G13" s="6"/>
    </row>
    <row r="14" spans="1:7" x14ac:dyDescent="0.3">
      <c r="A14" s="6"/>
      <c r="B14" s="6"/>
      <c r="C14" s="6"/>
      <c r="D14" s="7" t="str">
        <f t="shared" si="1"/>
        <v/>
      </c>
      <c r="E14" s="7" t="str">
        <f t="shared" si="2"/>
        <v/>
      </c>
      <c r="F14" s="7" t="str">
        <f t="shared" si="3"/>
        <v/>
      </c>
      <c r="G14" s="6"/>
    </row>
    <row r="15" spans="1:7" x14ac:dyDescent="0.3">
      <c r="A15" s="6"/>
      <c r="B15" s="6"/>
      <c r="C15" s="6"/>
      <c r="D15" s="7" t="str">
        <f t="shared" si="1"/>
        <v/>
      </c>
      <c r="E15" s="7" t="str">
        <f t="shared" si="2"/>
        <v/>
      </c>
      <c r="F15" s="7" t="str">
        <f t="shared" si="3"/>
        <v/>
      </c>
      <c r="G15" s="6"/>
    </row>
    <row r="16" spans="1:7" x14ac:dyDescent="0.3">
      <c r="A16" s="6"/>
      <c r="B16" s="6"/>
      <c r="C16" s="6"/>
      <c r="D16" s="7" t="str">
        <f t="shared" si="1"/>
        <v/>
      </c>
      <c r="E16" s="7" t="str">
        <f t="shared" si="2"/>
        <v/>
      </c>
      <c r="F16" s="7" t="str">
        <f t="shared" si="3"/>
        <v/>
      </c>
      <c r="G16" s="6"/>
    </row>
    <row r="17" spans="1:7" x14ac:dyDescent="0.3">
      <c r="A17" s="6"/>
      <c r="B17" s="6"/>
      <c r="C17" s="6"/>
      <c r="D17" s="7" t="str">
        <f t="shared" si="1"/>
        <v/>
      </c>
      <c r="E17" s="7" t="str">
        <f t="shared" si="2"/>
        <v/>
      </c>
      <c r="F17" s="7" t="str">
        <f t="shared" si="3"/>
        <v/>
      </c>
      <c r="G17" s="6"/>
    </row>
    <row r="18" spans="1:7" x14ac:dyDescent="0.3">
      <c r="A18" s="6"/>
      <c r="B18" s="6"/>
      <c r="C18" s="6"/>
      <c r="D18" s="7" t="str">
        <f t="shared" si="1"/>
        <v/>
      </c>
      <c r="E18" s="7" t="str">
        <f t="shared" si="2"/>
        <v/>
      </c>
      <c r="F18" s="7" t="str">
        <f t="shared" si="3"/>
        <v/>
      </c>
      <c r="G18" s="6"/>
    </row>
    <row r="19" spans="1:7" x14ac:dyDescent="0.3">
      <c r="A19" s="6"/>
      <c r="B19" s="6"/>
      <c r="C19" s="6"/>
      <c r="D19" s="7" t="str">
        <f t="shared" si="1"/>
        <v/>
      </c>
      <c r="E19" s="7" t="str">
        <f t="shared" si="2"/>
        <v/>
      </c>
      <c r="F19" s="7" t="str">
        <f t="shared" si="3"/>
        <v/>
      </c>
      <c r="G19" s="6"/>
    </row>
    <row r="20" spans="1:7" x14ac:dyDescent="0.3">
      <c r="A20" s="6"/>
      <c r="B20" s="6"/>
      <c r="C20" s="6"/>
      <c r="D20" s="7" t="str">
        <f t="shared" si="1"/>
        <v/>
      </c>
      <c r="E20" s="7" t="str">
        <f t="shared" si="2"/>
        <v/>
      </c>
      <c r="F20" s="7" t="str">
        <f t="shared" si="3"/>
        <v/>
      </c>
      <c r="G20" s="6"/>
    </row>
    <row r="21" spans="1:7" x14ac:dyDescent="0.3">
      <c r="A21" s="6"/>
      <c r="B21" s="6"/>
      <c r="C21" s="6"/>
      <c r="D21" s="7" t="str">
        <f t="shared" si="1"/>
        <v/>
      </c>
      <c r="E21" s="7" t="str">
        <f t="shared" si="2"/>
        <v/>
      </c>
      <c r="F21" s="7" t="str">
        <f t="shared" si="3"/>
        <v/>
      </c>
      <c r="G21" s="6"/>
    </row>
    <row r="22" spans="1:7" x14ac:dyDescent="0.3">
      <c r="A22" s="6"/>
      <c r="B22" s="6"/>
      <c r="C22" s="6"/>
      <c r="D22" s="7" t="str">
        <f t="shared" si="1"/>
        <v/>
      </c>
      <c r="E22" s="7" t="str">
        <f t="shared" si="2"/>
        <v/>
      </c>
      <c r="F22" s="7" t="str">
        <f t="shared" si="3"/>
        <v/>
      </c>
      <c r="G22" s="6"/>
    </row>
    <row r="23" spans="1:7" x14ac:dyDescent="0.3">
      <c r="A23" s="6"/>
      <c r="B23" s="6"/>
      <c r="C23" s="6"/>
      <c r="D23" s="7" t="str">
        <f t="shared" si="1"/>
        <v/>
      </c>
      <c r="E23" s="7" t="str">
        <f t="shared" si="2"/>
        <v/>
      </c>
      <c r="F23" s="7" t="str">
        <f t="shared" si="3"/>
        <v/>
      </c>
      <c r="G23" s="6"/>
    </row>
    <row r="24" spans="1:7" x14ac:dyDescent="0.3">
      <c r="A24" s="6"/>
      <c r="B24" s="6"/>
      <c r="C24" s="6"/>
      <c r="D24" s="7" t="str">
        <f t="shared" si="1"/>
        <v/>
      </c>
      <c r="E24" s="7" t="str">
        <f t="shared" si="2"/>
        <v/>
      </c>
      <c r="F24" s="7" t="str">
        <f t="shared" si="3"/>
        <v/>
      </c>
      <c r="G24" s="6"/>
    </row>
    <row r="25" spans="1:7" x14ac:dyDescent="0.3">
      <c r="A25" s="6"/>
      <c r="B25" s="6"/>
      <c r="C25" s="6"/>
      <c r="D25" s="7" t="str">
        <f t="shared" si="1"/>
        <v/>
      </c>
      <c r="E25" s="7" t="str">
        <f t="shared" si="2"/>
        <v/>
      </c>
      <c r="F25" s="7" t="str">
        <f t="shared" si="3"/>
        <v/>
      </c>
      <c r="G25" s="6"/>
    </row>
  </sheetData>
  <dataValidations count="1">
    <dataValidation type="list" allowBlank="1" sqref="B2:B25 C2:C25" xr:uid="{00000000-0002-0000-0200-000000000000}">
      <formula1>MonthsList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52"/>
  <sheetViews>
    <sheetView workbookViewId="0">
      <pane xSplit="6" ySplit="2" topLeftCell="G3" activePane="bottomRight" state="frozen"/>
      <selection pane="topRight"/>
      <selection pane="bottomLeft"/>
      <selection pane="bottomRight" activeCell="J28" sqref="J28"/>
    </sheetView>
  </sheetViews>
  <sheetFormatPr defaultRowHeight="14.4" x14ac:dyDescent="0.3"/>
  <cols>
    <col min="1" max="2" width="16" customWidth="1"/>
    <col min="3" max="4" width="12" customWidth="1"/>
    <col min="5" max="6" width="9" hidden="1" customWidth="1"/>
    <col min="7" max="18" width="8" customWidth="1"/>
  </cols>
  <sheetData>
    <row r="1" spans="1:18" hidden="1" x14ac:dyDescent="0.3">
      <c r="G1">
        <v>1</v>
      </c>
      <c r="H1">
        <v>2</v>
      </c>
      <c r="I1">
        <v>3</v>
      </c>
      <c r="J1">
        <v>4</v>
      </c>
      <c r="K1">
        <v>5</v>
      </c>
      <c r="L1">
        <v>6</v>
      </c>
      <c r="M1">
        <v>7</v>
      </c>
      <c r="N1">
        <v>8</v>
      </c>
      <c r="O1">
        <v>9</v>
      </c>
      <c r="P1">
        <v>10</v>
      </c>
      <c r="Q1">
        <v>11</v>
      </c>
      <c r="R1">
        <v>12</v>
      </c>
    </row>
    <row r="2" spans="1:18" x14ac:dyDescent="0.3">
      <c r="A2" s="8" t="s">
        <v>41</v>
      </c>
      <c r="B2" s="8" t="s">
        <v>25</v>
      </c>
      <c r="C2" s="8" t="s">
        <v>26</v>
      </c>
      <c r="D2" s="8" t="s">
        <v>27</v>
      </c>
      <c r="E2" s="8" t="s">
        <v>28</v>
      </c>
      <c r="F2" s="8" t="s">
        <v>29</v>
      </c>
      <c r="G2" s="8" t="s">
        <v>11</v>
      </c>
      <c r="H2" s="8" t="s">
        <v>13</v>
      </c>
      <c r="I2" s="8" t="s">
        <v>15</v>
      </c>
      <c r="J2" s="8" t="s">
        <v>16</v>
      </c>
      <c r="K2" s="8" t="s">
        <v>17</v>
      </c>
      <c r="L2" s="8" t="s">
        <v>18</v>
      </c>
      <c r="M2" s="8" t="s">
        <v>19</v>
      </c>
      <c r="N2" s="8" t="s">
        <v>20</v>
      </c>
      <c r="O2" s="8" t="s">
        <v>21</v>
      </c>
      <c r="P2" s="8" t="s">
        <v>22</v>
      </c>
      <c r="Q2" s="8" t="s">
        <v>23</v>
      </c>
      <c r="R2" s="8" t="s">
        <v>24</v>
      </c>
    </row>
    <row r="3" spans="1:18" x14ac:dyDescent="0.3">
      <c r="A3" s="6" t="s">
        <v>10</v>
      </c>
      <c r="B3" s="6" t="s">
        <v>32</v>
      </c>
      <c r="C3" s="6" t="str">
        <f>IFERROR(VLOOKUP($B3,Projects!$A$2:$G$50,2,FALSE),"")</f>
        <v>Jan</v>
      </c>
      <c r="D3" s="6" t="str">
        <f>IFERROR(VLOOKUP($B3,Projects!$A$2:$G$50,3,FALSE),"")</f>
        <v>Mar</v>
      </c>
      <c r="E3" s="6">
        <f>IFERROR(VLOOKUP($B3,Projects!$A$2:$G$50,4,FALSE),"")</f>
        <v>1</v>
      </c>
      <c r="F3" s="6">
        <f>IFERROR(VLOOKUP($B3,Projects!$A$2:$G$50,5,FALSE),"")</f>
        <v>3</v>
      </c>
      <c r="G3" s="9">
        <v>0.5</v>
      </c>
      <c r="H3" s="9">
        <v>0.25</v>
      </c>
      <c r="I3" s="9">
        <v>0.25</v>
      </c>
      <c r="J3" s="9"/>
      <c r="K3" s="9"/>
      <c r="L3" s="9"/>
      <c r="M3" s="9"/>
      <c r="N3" s="9"/>
      <c r="O3" s="9"/>
      <c r="P3" s="9"/>
      <c r="Q3" s="9"/>
      <c r="R3" s="9"/>
    </row>
    <row r="4" spans="1:18" x14ac:dyDescent="0.3">
      <c r="A4" s="6" t="s">
        <v>10</v>
      </c>
      <c r="B4" s="6" t="s">
        <v>34</v>
      </c>
      <c r="C4" s="6" t="str">
        <f>IFERROR(VLOOKUP($B4,Projects!$A$2:$G$50,2,FALSE),"")</f>
        <v>Jan</v>
      </c>
      <c r="D4" s="6" t="str">
        <f>IFERROR(VLOOKUP($B4,Projects!$A$2:$G$50,3,FALSE),"")</f>
        <v>May</v>
      </c>
      <c r="E4" s="6">
        <f>IFERROR(VLOOKUP($B4,Projects!$A$2:$G$50,4,FALSE),"")</f>
        <v>1</v>
      </c>
      <c r="F4" s="6">
        <f>IFERROR(VLOOKUP($B4,Projects!$A$2:$G$50,5,FALSE),"")</f>
        <v>5</v>
      </c>
      <c r="G4" s="9">
        <v>0.25</v>
      </c>
      <c r="H4" s="9">
        <v>0.25</v>
      </c>
      <c r="I4" s="9">
        <v>0.25</v>
      </c>
      <c r="J4" s="9">
        <v>0.5</v>
      </c>
      <c r="K4" s="9">
        <v>0.5</v>
      </c>
      <c r="L4" s="9"/>
      <c r="M4" s="9"/>
      <c r="N4" s="9"/>
      <c r="O4" s="9"/>
      <c r="P4" s="9"/>
      <c r="Q4" s="9"/>
      <c r="R4" s="9"/>
    </row>
    <row r="5" spans="1:18" x14ac:dyDescent="0.3">
      <c r="A5" s="6" t="s">
        <v>12</v>
      </c>
      <c r="B5" s="6" t="s">
        <v>32</v>
      </c>
      <c r="C5" s="6" t="str">
        <f>IFERROR(VLOOKUP($B5,Projects!$A$2:$G$50,2,FALSE),"")</f>
        <v>Jan</v>
      </c>
      <c r="D5" s="6" t="str">
        <f>IFERROR(VLOOKUP($B5,Projects!$A$2:$G$50,3,FALSE),"")</f>
        <v>Mar</v>
      </c>
      <c r="E5" s="6">
        <f>IFERROR(VLOOKUP($B5,Projects!$A$2:$G$50,4,FALSE),"")</f>
        <v>1</v>
      </c>
      <c r="F5" s="6">
        <f>IFERROR(VLOOKUP($B5,Projects!$A$2:$G$50,5,FALSE),"")</f>
        <v>3</v>
      </c>
      <c r="G5" s="9"/>
      <c r="H5" s="9">
        <v>0.5</v>
      </c>
      <c r="I5" s="9">
        <v>0.5</v>
      </c>
      <c r="J5" s="9"/>
      <c r="K5" s="9"/>
      <c r="L5" s="9"/>
      <c r="M5" s="9"/>
      <c r="N5" s="9"/>
      <c r="O5" s="9"/>
      <c r="P5" s="9"/>
      <c r="Q5" s="9"/>
      <c r="R5" s="9"/>
    </row>
    <row r="6" spans="1:18" x14ac:dyDescent="0.3">
      <c r="A6" s="6" t="s">
        <v>12</v>
      </c>
      <c r="B6" s="6" t="s">
        <v>36</v>
      </c>
      <c r="C6" s="6" t="str">
        <f>IFERROR(VLOOKUP($B6,Projects!$A$2:$G$50,2,FALSE),"")</f>
        <v>Jan</v>
      </c>
      <c r="D6" s="6" t="str">
        <f>IFERROR(VLOOKUP($B6,Projects!$A$2:$G$50,3,FALSE),"")</f>
        <v>Feb</v>
      </c>
      <c r="E6" s="6">
        <f>IFERROR(VLOOKUP($B6,Projects!$A$2:$G$50,4,FALSE),"")</f>
        <v>1</v>
      </c>
      <c r="F6" s="6">
        <f>IFERROR(VLOOKUP($B6,Projects!$A$2:$G$50,5,FALSE),"")</f>
        <v>2</v>
      </c>
      <c r="G6" s="9">
        <v>0.5</v>
      </c>
      <c r="H6" s="9">
        <v>0.5</v>
      </c>
      <c r="I6" s="9"/>
      <c r="J6" s="9"/>
      <c r="K6" s="9"/>
      <c r="L6" s="9"/>
      <c r="M6" s="9"/>
      <c r="N6" s="9"/>
      <c r="O6" s="9"/>
      <c r="P6" s="9"/>
      <c r="Q6" s="9"/>
      <c r="R6" s="9"/>
    </row>
    <row r="7" spans="1:18" x14ac:dyDescent="0.3">
      <c r="A7" s="6" t="s">
        <v>10</v>
      </c>
      <c r="B7" s="6" t="s">
        <v>38</v>
      </c>
      <c r="C7" s="6" t="s">
        <v>19</v>
      </c>
      <c r="D7" s="6" t="s">
        <v>21</v>
      </c>
      <c r="E7" s="6">
        <f>IFERROR(VLOOKUP($B3,Projects!$A$2:$G$50,4,FALSE),"")</f>
        <v>1</v>
      </c>
      <c r="F7" s="6">
        <f>IFERROR(VLOOKUP($B3,Projects!$A$2:$G$50,5,FALSE),"")</f>
        <v>3</v>
      </c>
      <c r="G7" s="9"/>
      <c r="H7" s="9"/>
      <c r="I7" s="9"/>
      <c r="J7" s="9"/>
      <c r="K7" s="9"/>
      <c r="L7" s="9"/>
      <c r="M7" s="9">
        <v>0.5</v>
      </c>
      <c r="N7" s="9">
        <v>0.75</v>
      </c>
      <c r="O7" s="9">
        <v>0.5</v>
      </c>
      <c r="P7" s="9"/>
      <c r="Q7" s="9"/>
      <c r="R7" s="9"/>
    </row>
    <row r="8" spans="1:18" x14ac:dyDescent="0.3">
      <c r="A8" s="6" t="s">
        <v>10</v>
      </c>
      <c r="B8" s="6" t="s">
        <v>40</v>
      </c>
      <c r="C8" s="6" t="s">
        <v>20</v>
      </c>
      <c r="D8" s="6" t="s">
        <v>23</v>
      </c>
      <c r="E8" s="6">
        <f>IFERROR(VLOOKUP($B3,Projects!$A$2:$G$50,4,FALSE),"")</f>
        <v>1</v>
      </c>
      <c r="F8" s="6">
        <f>IFERROR(VLOOKUP($B3,Projects!$A$2:$G$50,5,FALSE),"")</f>
        <v>3</v>
      </c>
      <c r="G8" s="9"/>
      <c r="H8" s="9"/>
      <c r="I8" s="9"/>
      <c r="J8" s="9"/>
      <c r="K8" s="9"/>
      <c r="L8" s="9"/>
      <c r="M8" s="9"/>
      <c r="N8" s="9">
        <v>0.5</v>
      </c>
      <c r="O8" s="9">
        <v>0.5</v>
      </c>
      <c r="P8" s="9">
        <v>0.25</v>
      </c>
      <c r="Q8" s="9">
        <v>0.5</v>
      </c>
      <c r="R8" s="9"/>
    </row>
    <row r="9" spans="1:18" x14ac:dyDescent="0.3">
      <c r="A9" s="6" t="s">
        <v>12</v>
      </c>
      <c r="B9" s="6" t="s">
        <v>39</v>
      </c>
      <c r="C9" s="6" t="s">
        <v>22</v>
      </c>
      <c r="D9" s="6" t="s">
        <v>24</v>
      </c>
      <c r="E9" s="6">
        <f>IFERROR(VLOOKUP($B3,Projects!$A$2:$G$50,4,FALSE),"")</f>
        <v>1</v>
      </c>
      <c r="F9" s="6">
        <f>IFERROR(VLOOKUP($B3,Projects!$A$2:$G$50,5,FALSE),"")</f>
        <v>3</v>
      </c>
      <c r="G9" s="9"/>
      <c r="H9" s="9"/>
      <c r="I9" s="9"/>
      <c r="J9" s="9"/>
      <c r="K9" s="9"/>
      <c r="L9" s="9"/>
      <c r="M9" s="9"/>
      <c r="N9" s="9"/>
      <c r="O9" s="9"/>
      <c r="P9" s="9">
        <v>0.75</v>
      </c>
      <c r="Q9" s="9">
        <v>0.5</v>
      </c>
      <c r="R9" s="9">
        <v>1</v>
      </c>
    </row>
    <row r="10" spans="1:18" x14ac:dyDescent="0.3">
      <c r="A10" s="6" t="s">
        <v>12</v>
      </c>
      <c r="B10" s="6" t="s">
        <v>40</v>
      </c>
      <c r="C10" s="6" t="s">
        <v>20</v>
      </c>
      <c r="D10" s="6" t="s">
        <v>23</v>
      </c>
      <c r="E10" s="6">
        <f>IFERROR(VLOOKUP($B3,Projects!$A$2:$G$50,4,FALSE),"")</f>
        <v>1</v>
      </c>
      <c r="F10" s="6">
        <f>IFERROR(VLOOKUP($B3,Projects!$A$2:$G$50,5,FALSE),"")</f>
        <v>3</v>
      </c>
      <c r="G10" s="9"/>
      <c r="H10" s="9"/>
      <c r="I10" s="9"/>
      <c r="J10" s="9"/>
      <c r="K10" s="9"/>
      <c r="L10" s="9"/>
      <c r="M10" s="9"/>
      <c r="N10" s="9">
        <v>0.25</v>
      </c>
      <c r="O10" s="9">
        <v>0.25</v>
      </c>
      <c r="P10" s="9">
        <v>0.5</v>
      </c>
      <c r="Q10" s="9">
        <v>0.75</v>
      </c>
      <c r="R10" s="9"/>
    </row>
    <row r="11" spans="1:18" x14ac:dyDescent="0.3">
      <c r="A11" s="6"/>
      <c r="B11" s="6"/>
      <c r="C11" s="6" t="str">
        <f>IFERROR(VLOOKUP($B11,Projects!$A$2:$G$50,2,FALSE),"")</f>
        <v/>
      </c>
      <c r="D11" s="6" t="str">
        <f>IFERROR(VLOOKUP($B11,Projects!$A$2:$G$50,3,FALSE),"")</f>
        <v/>
      </c>
      <c r="E11" s="6" t="str">
        <f>IFERROR(VLOOKUP($B11,Projects!$A$2:$G$50,4,FALSE),"")</f>
        <v/>
      </c>
      <c r="F11" s="6" t="str">
        <f>IFERROR(VLOOKUP($B11,Projects!$A$2:$G$50,5,FALSE),"")</f>
        <v/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</row>
    <row r="12" spans="1:18" x14ac:dyDescent="0.3">
      <c r="A12" s="6"/>
      <c r="B12" s="6"/>
      <c r="C12" s="6" t="str">
        <f>IFERROR(VLOOKUP($B12,Projects!$A$2:$G$50,2,FALSE),"")</f>
        <v/>
      </c>
      <c r="D12" s="6" t="str">
        <f>IFERROR(VLOOKUP($B12,Projects!$A$2:$G$50,3,FALSE),"")</f>
        <v/>
      </c>
      <c r="E12" s="6" t="str">
        <f>IFERROR(VLOOKUP($B12,Projects!$A$2:$G$50,4,FALSE),"")</f>
        <v/>
      </c>
      <c r="F12" s="6" t="str">
        <f>IFERROR(VLOOKUP($B12,Projects!$A$2:$G$50,5,FALSE),"")</f>
        <v/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</row>
    <row r="13" spans="1:18" x14ac:dyDescent="0.3">
      <c r="A13" s="6"/>
      <c r="B13" s="6"/>
      <c r="C13" s="6" t="str">
        <f>IFERROR(VLOOKUP($B13,Projects!$A$2:$G$50,2,FALSE),"")</f>
        <v/>
      </c>
      <c r="D13" s="6" t="str">
        <f>IFERROR(VLOOKUP($B13,Projects!$A$2:$G$50,3,FALSE),"")</f>
        <v/>
      </c>
      <c r="E13" s="6" t="str">
        <f>IFERROR(VLOOKUP($B13,Projects!$A$2:$G$50,4,FALSE),"")</f>
        <v/>
      </c>
      <c r="F13" s="6" t="str">
        <f>IFERROR(VLOOKUP($B13,Projects!$A$2:$G$50,5,FALSE),"")</f>
        <v/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</row>
    <row r="14" spans="1:18" x14ac:dyDescent="0.3">
      <c r="A14" s="6"/>
      <c r="B14" s="6"/>
      <c r="C14" s="6" t="str">
        <f>IFERROR(VLOOKUP($B14,Projects!$A$2:$G$50,2,FALSE),"")</f>
        <v/>
      </c>
      <c r="D14" s="6" t="str">
        <f>IFERROR(VLOOKUP($B14,Projects!$A$2:$G$50,3,FALSE),"")</f>
        <v/>
      </c>
      <c r="E14" s="6" t="str">
        <f>IFERROR(VLOOKUP($B14,Projects!$A$2:$G$50,4,FALSE),"")</f>
        <v/>
      </c>
      <c r="F14" s="6" t="str">
        <f>IFERROR(VLOOKUP($B14,Projects!$A$2:$G$50,5,FALSE),"")</f>
        <v/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</row>
    <row r="15" spans="1:18" x14ac:dyDescent="0.3">
      <c r="A15" s="6"/>
      <c r="B15" s="6"/>
      <c r="C15" s="6" t="str">
        <f>IFERROR(VLOOKUP($B15,Projects!$A$2:$G$50,2,FALSE),"")</f>
        <v/>
      </c>
      <c r="D15" s="6" t="str">
        <f>IFERROR(VLOOKUP($B15,Projects!$A$2:$G$50,3,FALSE),"")</f>
        <v/>
      </c>
      <c r="E15" s="6" t="str">
        <f>IFERROR(VLOOKUP($B15,Projects!$A$2:$G$50,4,FALSE),"")</f>
        <v/>
      </c>
      <c r="F15" s="6" t="str">
        <f>IFERROR(VLOOKUP($B15,Projects!$A$2:$G$50,5,FALSE),"")</f>
        <v/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</row>
    <row r="16" spans="1:18" x14ac:dyDescent="0.3">
      <c r="A16" s="6"/>
      <c r="B16" s="6"/>
      <c r="C16" s="6" t="str">
        <f>IFERROR(VLOOKUP($B16,Projects!$A$2:$G$50,2,FALSE),"")</f>
        <v/>
      </c>
      <c r="D16" s="6" t="str">
        <f>IFERROR(VLOOKUP($B16,Projects!$A$2:$G$50,3,FALSE),"")</f>
        <v/>
      </c>
      <c r="E16" s="6" t="str">
        <f>IFERROR(VLOOKUP($B16,Projects!$A$2:$G$50,4,FALSE),"")</f>
        <v/>
      </c>
      <c r="F16" s="6" t="str">
        <f>IFERROR(VLOOKUP($B16,Projects!$A$2:$G$50,5,FALSE),"")</f>
        <v/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</row>
    <row r="17" spans="1:18" x14ac:dyDescent="0.3">
      <c r="A17" s="6"/>
      <c r="B17" s="6"/>
      <c r="C17" s="6" t="str">
        <f>IFERROR(VLOOKUP($B17,Projects!$A$2:$G$50,2,FALSE),"")</f>
        <v/>
      </c>
      <c r="D17" s="6" t="str">
        <f>IFERROR(VLOOKUP($B17,Projects!$A$2:$G$50,3,FALSE),"")</f>
        <v/>
      </c>
      <c r="E17" s="6" t="str">
        <f>IFERROR(VLOOKUP($B17,Projects!$A$2:$G$50,4,FALSE),"")</f>
        <v/>
      </c>
      <c r="F17" s="6" t="str">
        <f>IFERROR(VLOOKUP($B17,Projects!$A$2:$G$50,5,FALSE),"")</f>
        <v/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</row>
    <row r="18" spans="1:18" x14ac:dyDescent="0.3">
      <c r="A18" s="6"/>
      <c r="B18" s="6"/>
      <c r="C18" s="6" t="str">
        <f>IFERROR(VLOOKUP($B18,Projects!$A$2:$G$50,2,FALSE),"")</f>
        <v/>
      </c>
      <c r="D18" s="6" t="str">
        <f>IFERROR(VLOOKUP($B18,Projects!$A$2:$G$50,3,FALSE),"")</f>
        <v/>
      </c>
      <c r="E18" s="6" t="str">
        <f>IFERROR(VLOOKUP($B18,Projects!$A$2:$G$50,4,FALSE),"")</f>
        <v/>
      </c>
      <c r="F18" s="6" t="str">
        <f>IFERROR(VLOOKUP($B18,Projects!$A$2:$G$50,5,FALSE),"")</f>
        <v/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</row>
    <row r="19" spans="1:18" x14ac:dyDescent="0.3">
      <c r="A19" s="6"/>
      <c r="B19" s="6"/>
      <c r="C19" s="6" t="str">
        <f>IFERROR(VLOOKUP($B19,Projects!$A$2:$G$50,2,FALSE),"")</f>
        <v/>
      </c>
      <c r="D19" s="6" t="str">
        <f>IFERROR(VLOOKUP($B19,Projects!$A$2:$G$50,3,FALSE),"")</f>
        <v/>
      </c>
      <c r="E19" s="6" t="str">
        <f>IFERROR(VLOOKUP($B19,Projects!$A$2:$G$50,4,FALSE),"")</f>
        <v/>
      </c>
      <c r="F19" s="6" t="str">
        <f>IFERROR(VLOOKUP($B19,Projects!$A$2:$G$50,5,FALSE),"")</f>
        <v/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</row>
    <row r="20" spans="1:18" x14ac:dyDescent="0.3">
      <c r="A20" s="6"/>
      <c r="B20" s="6"/>
      <c r="C20" s="6" t="str">
        <f>IFERROR(VLOOKUP($B20,Projects!$A$2:$G$50,2,FALSE),"")</f>
        <v/>
      </c>
      <c r="D20" s="6" t="str">
        <f>IFERROR(VLOOKUP($B20,Projects!$A$2:$G$50,3,FALSE),"")</f>
        <v/>
      </c>
      <c r="E20" s="6" t="str">
        <f>IFERROR(VLOOKUP($B20,Projects!$A$2:$G$50,4,FALSE),"")</f>
        <v/>
      </c>
      <c r="F20" s="6" t="str">
        <f>IFERROR(VLOOKUP($B20,Projects!$A$2:$G$50,5,FALSE),"")</f>
        <v/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</row>
    <row r="21" spans="1:18" x14ac:dyDescent="0.3">
      <c r="A21" s="6"/>
      <c r="B21" s="6"/>
      <c r="C21" s="6" t="str">
        <f>IFERROR(VLOOKUP($B21,Projects!$A$2:$G$50,2,FALSE),"")</f>
        <v/>
      </c>
      <c r="D21" s="6" t="str">
        <f>IFERROR(VLOOKUP($B21,Projects!$A$2:$G$50,3,FALSE),"")</f>
        <v/>
      </c>
      <c r="E21" s="6" t="str">
        <f>IFERROR(VLOOKUP($B21,Projects!$A$2:$G$50,4,FALSE),"")</f>
        <v/>
      </c>
      <c r="F21" s="6" t="str">
        <f>IFERROR(VLOOKUP($B21,Projects!$A$2:$G$50,5,FALSE),"")</f>
        <v/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</row>
    <row r="22" spans="1:18" x14ac:dyDescent="0.3">
      <c r="A22" s="6"/>
      <c r="B22" s="6"/>
      <c r="C22" s="6" t="str">
        <f>IFERROR(VLOOKUP($B22,Projects!$A$2:$G$50,2,FALSE),"")</f>
        <v/>
      </c>
      <c r="D22" s="6" t="str">
        <f>IFERROR(VLOOKUP($B22,Projects!$A$2:$G$50,3,FALSE),"")</f>
        <v/>
      </c>
      <c r="E22" s="6" t="str">
        <f>IFERROR(VLOOKUP($B22,Projects!$A$2:$G$50,4,FALSE),"")</f>
        <v/>
      </c>
      <c r="F22" s="6" t="str">
        <f>IFERROR(VLOOKUP($B22,Projects!$A$2:$G$50,5,FALSE),"")</f>
        <v/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</row>
    <row r="23" spans="1:18" x14ac:dyDescent="0.3">
      <c r="A23" s="6"/>
      <c r="B23" s="6"/>
      <c r="C23" s="6" t="str">
        <f>IFERROR(VLOOKUP($B23,Projects!$A$2:$G$50,2,FALSE),"")</f>
        <v/>
      </c>
      <c r="D23" s="6" t="str">
        <f>IFERROR(VLOOKUP($B23,Projects!$A$2:$G$50,3,FALSE),"")</f>
        <v/>
      </c>
      <c r="E23" s="6" t="str">
        <f>IFERROR(VLOOKUP($B23,Projects!$A$2:$G$50,4,FALSE),"")</f>
        <v/>
      </c>
      <c r="F23" s="6" t="str">
        <f>IFERROR(VLOOKUP($B23,Projects!$A$2:$G$50,5,FALSE),"")</f>
        <v/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</row>
    <row r="24" spans="1:18" x14ac:dyDescent="0.3">
      <c r="A24" s="6"/>
      <c r="B24" s="6"/>
      <c r="C24" s="6" t="str">
        <f>IFERROR(VLOOKUP($B24,Projects!$A$2:$G$50,2,FALSE),"")</f>
        <v/>
      </c>
      <c r="D24" s="6" t="str">
        <f>IFERROR(VLOOKUP($B24,Projects!$A$2:$G$50,3,FALSE),"")</f>
        <v/>
      </c>
      <c r="E24" s="6" t="str">
        <f>IFERROR(VLOOKUP($B24,Projects!$A$2:$G$50,4,FALSE),"")</f>
        <v/>
      </c>
      <c r="F24" s="6" t="str">
        <f>IFERROR(VLOOKUP($B24,Projects!$A$2:$G$50,5,FALSE),"")</f>
        <v/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</row>
    <row r="25" spans="1:18" x14ac:dyDescent="0.3">
      <c r="A25" s="6"/>
      <c r="B25" s="6"/>
      <c r="C25" s="6" t="str">
        <f>IFERROR(VLOOKUP($B25,Projects!$A$2:$G$50,2,FALSE),"")</f>
        <v/>
      </c>
      <c r="D25" s="6" t="str">
        <f>IFERROR(VLOOKUP($B25,Projects!$A$2:$G$50,3,FALSE),"")</f>
        <v/>
      </c>
      <c r="E25" s="6" t="str">
        <f>IFERROR(VLOOKUP($B25,Projects!$A$2:$G$50,4,FALSE),"")</f>
        <v/>
      </c>
      <c r="F25" s="6" t="str">
        <f>IFERROR(VLOOKUP($B25,Projects!$A$2:$G$50,5,FALSE),"")</f>
        <v/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</row>
    <row r="26" spans="1:18" x14ac:dyDescent="0.3">
      <c r="A26" s="6"/>
      <c r="B26" s="6"/>
      <c r="C26" s="6" t="str">
        <f>IFERROR(VLOOKUP($B26,Projects!$A$2:$G$50,2,FALSE),"")</f>
        <v/>
      </c>
      <c r="D26" s="6" t="str">
        <f>IFERROR(VLOOKUP($B26,Projects!$A$2:$G$50,3,FALSE),"")</f>
        <v/>
      </c>
      <c r="E26" s="6" t="str">
        <f>IFERROR(VLOOKUP($B26,Projects!$A$2:$G$50,4,FALSE),"")</f>
        <v/>
      </c>
      <c r="F26" s="6" t="str">
        <f>IFERROR(VLOOKUP($B26,Projects!$A$2:$G$50,5,FALSE),"")</f>
        <v/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</row>
    <row r="27" spans="1:18" x14ac:dyDescent="0.3">
      <c r="A27" s="6"/>
      <c r="B27" s="6"/>
      <c r="C27" s="6" t="str">
        <f>IFERROR(VLOOKUP($B27,Projects!$A$2:$G$50,2,FALSE),"")</f>
        <v/>
      </c>
      <c r="D27" s="6" t="str">
        <f>IFERROR(VLOOKUP($B27,Projects!$A$2:$G$50,3,FALSE),"")</f>
        <v/>
      </c>
      <c r="E27" s="6" t="str">
        <f>IFERROR(VLOOKUP($B27,Projects!$A$2:$G$50,4,FALSE),"")</f>
        <v/>
      </c>
      <c r="F27" s="6" t="str">
        <f>IFERROR(VLOOKUP($B27,Projects!$A$2:$G$50,5,FALSE),"")</f>
        <v/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</row>
    <row r="28" spans="1:18" x14ac:dyDescent="0.3">
      <c r="A28" s="6"/>
      <c r="B28" s="6"/>
      <c r="C28" s="6" t="str">
        <f>IFERROR(VLOOKUP($B28,Projects!$A$2:$G$50,2,FALSE),"")</f>
        <v/>
      </c>
      <c r="D28" s="6" t="str">
        <f>IFERROR(VLOOKUP($B28,Projects!$A$2:$G$50,3,FALSE),"")</f>
        <v/>
      </c>
      <c r="E28" s="6" t="str">
        <f>IFERROR(VLOOKUP($B28,Projects!$A$2:$G$50,4,FALSE),"")</f>
        <v/>
      </c>
      <c r="F28" s="6" t="str">
        <f>IFERROR(VLOOKUP($B28,Projects!$A$2:$G$50,5,FALSE),"")</f>
        <v/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</row>
    <row r="29" spans="1:18" x14ac:dyDescent="0.3">
      <c r="A29" s="6"/>
      <c r="B29" s="6"/>
      <c r="C29" s="6" t="str">
        <f>IFERROR(VLOOKUP($B29,Projects!$A$2:$G$50,2,FALSE),"")</f>
        <v/>
      </c>
      <c r="D29" s="6" t="str">
        <f>IFERROR(VLOOKUP($B29,Projects!$A$2:$G$50,3,FALSE),"")</f>
        <v/>
      </c>
      <c r="E29" s="6" t="str">
        <f>IFERROR(VLOOKUP($B29,Projects!$A$2:$G$50,4,FALSE),"")</f>
        <v/>
      </c>
      <c r="F29" s="6" t="str">
        <f>IFERROR(VLOOKUP($B29,Projects!$A$2:$G$50,5,FALSE),"")</f>
        <v/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</row>
    <row r="30" spans="1:18" x14ac:dyDescent="0.3">
      <c r="A30" s="6"/>
      <c r="B30" s="6"/>
      <c r="C30" s="6" t="str">
        <f>IFERROR(VLOOKUP($B30,Projects!$A$2:$G$50,2,FALSE),"")</f>
        <v/>
      </c>
      <c r="D30" s="6" t="str">
        <f>IFERROR(VLOOKUP($B30,Projects!$A$2:$G$50,3,FALSE),"")</f>
        <v/>
      </c>
      <c r="E30" s="6" t="str">
        <f>IFERROR(VLOOKUP($B30,Projects!$A$2:$G$50,4,FALSE),"")</f>
        <v/>
      </c>
      <c r="F30" s="6" t="str">
        <f>IFERROR(VLOOKUP($B30,Projects!$A$2:$G$50,5,FALSE),"")</f>
        <v/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</row>
    <row r="31" spans="1:18" x14ac:dyDescent="0.3">
      <c r="A31" s="6"/>
      <c r="B31" s="6"/>
      <c r="C31" s="6" t="str">
        <f>IFERROR(VLOOKUP($B31,Projects!$A$2:$G$50,2,FALSE),"")</f>
        <v/>
      </c>
      <c r="D31" s="6" t="str">
        <f>IFERROR(VLOOKUP($B31,Projects!$A$2:$G$50,3,FALSE),"")</f>
        <v/>
      </c>
      <c r="E31" s="6" t="str">
        <f>IFERROR(VLOOKUP($B31,Projects!$A$2:$G$50,4,FALSE),"")</f>
        <v/>
      </c>
      <c r="F31" s="6" t="str">
        <f>IFERROR(VLOOKUP($B31,Projects!$A$2:$G$50,5,FALSE),"")</f>
        <v/>
      </c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</row>
    <row r="32" spans="1:18" x14ac:dyDescent="0.3">
      <c r="A32" s="6"/>
      <c r="B32" s="6"/>
      <c r="C32" s="6" t="str">
        <f>IFERROR(VLOOKUP($B32,Projects!$A$2:$G$50,2,FALSE),"")</f>
        <v/>
      </c>
      <c r="D32" s="6" t="str">
        <f>IFERROR(VLOOKUP($B32,Projects!$A$2:$G$50,3,FALSE),"")</f>
        <v/>
      </c>
      <c r="E32" s="6" t="str">
        <f>IFERROR(VLOOKUP($B32,Projects!$A$2:$G$50,4,FALSE),"")</f>
        <v/>
      </c>
      <c r="F32" s="6" t="str">
        <f>IFERROR(VLOOKUP($B32,Projects!$A$2:$G$50,5,FALSE),"")</f>
        <v/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</row>
    <row r="33" spans="1:18" x14ac:dyDescent="0.3">
      <c r="A33" s="6"/>
      <c r="B33" s="6"/>
      <c r="C33" s="6" t="str">
        <f>IFERROR(VLOOKUP($B33,Projects!$A$2:$G$50,2,FALSE),"")</f>
        <v/>
      </c>
      <c r="D33" s="6" t="str">
        <f>IFERROR(VLOOKUP($B33,Projects!$A$2:$G$50,3,FALSE),"")</f>
        <v/>
      </c>
      <c r="E33" s="6" t="str">
        <f>IFERROR(VLOOKUP($B33,Projects!$A$2:$G$50,4,FALSE),"")</f>
        <v/>
      </c>
      <c r="F33" s="6" t="str">
        <f>IFERROR(VLOOKUP($B33,Projects!$A$2:$G$50,5,FALSE),"")</f>
        <v/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</row>
    <row r="34" spans="1:18" x14ac:dyDescent="0.3">
      <c r="A34" s="6"/>
      <c r="B34" s="6"/>
      <c r="C34" s="6" t="str">
        <f>IFERROR(VLOOKUP($B34,Projects!$A$2:$G$50,2,FALSE),"")</f>
        <v/>
      </c>
      <c r="D34" s="6" t="str">
        <f>IFERROR(VLOOKUP($B34,Projects!$A$2:$G$50,3,FALSE),"")</f>
        <v/>
      </c>
      <c r="E34" s="6" t="str">
        <f>IFERROR(VLOOKUP($B34,Projects!$A$2:$G$50,4,FALSE),"")</f>
        <v/>
      </c>
      <c r="F34" s="6" t="str">
        <f>IFERROR(VLOOKUP($B34,Projects!$A$2:$G$50,5,FALSE),"")</f>
        <v/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</row>
    <row r="35" spans="1:18" x14ac:dyDescent="0.3">
      <c r="A35" s="6"/>
      <c r="B35" s="6"/>
      <c r="C35" s="6" t="str">
        <f>IFERROR(VLOOKUP($B35,Projects!$A$2:$G$50,2,FALSE),"")</f>
        <v/>
      </c>
      <c r="D35" s="6" t="str">
        <f>IFERROR(VLOOKUP($B35,Projects!$A$2:$G$50,3,FALSE),"")</f>
        <v/>
      </c>
      <c r="E35" s="6" t="str">
        <f>IFERROR(VLOOKUP($B35,Projects!$A$2:$G$50,4,FALSE),"")</f>
        <v/>
      </c>
      <c r="F35" s="6" t="str">
        <f>IFERROR(VLOOKUP($B35,Projects!$A$2:$G$50,5,FALSE),"")</f>
        <v/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</row>
    <row r="36" spans="1:18" x14ac:dyDescent="0.3">
      <c r="A36" s="6"/>
      <c r="B36" s="6"/>
      <c r="C36" s="6" t="str">
        <f>IFERROR(VLOOKUP($B36,Projects!$A$2:$G$50,2,FALSE),"")</f>
        <v/>
      </c>
      <c r="D36" s="6" t="str">
        <f>IFERROR(VLOOKUP($B36,Projects!$A$2:$G$50,3,FALSE),"")</f>
        <v/>
      </c>
      <c r="E36" s="6" t="str">
        <f>IFERROR(VLOOKUP($B36,Projects!$A$2:$G$50,4,FALSE),"")</f>
        <v/>
      </c>
      <c r="F36" s="6" t="str">
        <f>IFERROR(VLOOKUP($B36,Projects!$A$2:$G$50,5,FALSE),"")</f>
        <v/>
      </c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</row>
    <row r="37" spans="1:18" x14ac:dyDescent="0.3">
      <c r="A37" s="6"/>
      <c r="B37" s="6"/>
      <c r="C37" s="6" t="str">
        <f>IFERROR(VLOOKUP($B37,Projects!$A$2:$G$50,2,FALSE),"")</f>
        <v/>
      </c>
      <c r="D37" s="6" t="str">
        <f>IFERROR(VLOOKUP($B37,Projects!$A$2:$G$50,3,FALSE),"")</f>
        <v/>
      </c>
      <c r="E37" s="6" t="str">
        <f>IFERROR(VLOOKUP($B37,Projects!$A$2:$G$50,4,FALSE),"")</f>
        <v/>
      </c>
      <c r="F37" s="6" t="str">
        <f>IFERROR(VLOOKUP($B37,Projects!$A$2:$G$50,5,FALSE),"")</f>
        <v/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</row>
    <row r="38" spans="1:18" x14ac:dyDescent="0.3">
      <c r="A38" s="6"/>
      <c r="B38" s="6"/>
      <c r="C38" s="6" t="str">
        <f>IFERROR(VLOOKUP($B38,Projects!$A$2:$G$50,2,FALSE),"")</f>
        <v/>
      </c>
      <c r="D38" s="6" t="str">
        <f>IFERROR(VLOOKUP($B38,Projects!$A$2:$G$50,3,FALSE),"")</f>
        <v/>
      </c>
      <c r="E38" s="6" t="str">
        <f>IFERROR(VLOOKUP($B38,Projects!$A$2:$G$50,4,FALSE),"")</f>
        <v/>
      </c>
      <c r="F38" s="6" t="str">
        <f>IFERROR(VLOOKUP($B38,Projects!$A$2:$G$50,5,FALSE),"")</f>
        <v/>
      </c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</row>
    <row r="39" spans="1:18" x14ac:dyDescent="0.3">
      <c r="A39" s="6"/>
      <c r="B39" s="6"/>
      <c r="C39" s="6" t="str">
        <f>IFERROR(VLOOKUP($B39,Projects!$A$2:$G$50,2,FALSE),"")</f>
        <v/>
      </c>
      <c r="D39" s="6" t="str">
        <f>IFERROR(VLOOKUP($B39,Projects!$A$2:$G$50,3,FALSE),"")</f>
        <v/>
      </c>
      <c r="E39" s="6" t="str">
        <f>IFERROR(VLOOKUP($B39,Projects!$A$2:$G$50,4,FALSE),"")</f>
        <v/>
      </c>
      <c r="F39" s="6" t="str">
        <f>IFERROR(VLOOKUP($B39,Projects!$A$2:$G$50,5,FALSE),"")</f>
        <v/>
      </c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</row>
    <row r="40" spans="1:18" x14ac:dyDescent="0.3">
      <c r="A40" s="6"/>
      <c r="B40" s="6"/>
      <c r="C40" s="6" t="str">
        <f>IFERROR(VLOOKUP($B40,Projects!$A$2:$G$50,2,FALSE),"")</f>
        <v/>
      </c>
      <c r="D40" s="6" t="str">
        <f>IFERROR(VLOOKUP($B40,Projects!$A$2:$G$50,3,FALSE),"")</f>
        <v/>
      </c>
      <c r="E40" s="6" t="str">
        <f>IFERROR(VLOOKUP($B40,Projects!$A$2:$G$50,4,FALSE),"")</f>
        <v/>
      </c>
      <c r="F40" s="6" t="str">
        <f>IFERROR(VLOOKUP($B40,Projects!$A$2:$G$50,5,FALSE),"")</f>
        <v/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</row>
    <row r="41" spans="1:18" x14ac:dyDescent="0.3">
      <c r="A41" s="6"/>
      <c r="B41" s="6"/>
      <c r="C41" s="6" t="str">
        <f>IFERROR(VLOOKUP($B41,Projects!$A$2:$G$50,2,FALSE),"")</f>
        <v/>
      </c>
      <c r="D41" s="6" t="str">
        <f>IFERROR(VLOOKUP($B41,Projects!$A$2:$G$50,3,FALSE),"")</f>
        <v/>
      </c>
      <c r="E41" s="6" t="str">
        <f>IFERROR(VLOOKUP($B41,Projects!$A$2:$G$50,4,FALSE),"")</f>
        <v/>
      </c>
      <c r="F41" s="6" t="str">
        <f>IFERROR(VLOOKUP($B41,Projects!$A$2:$G$50,5,FALSE),"")</f>
        <v/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</row>
    <row r="42" spans="1:18" x14ac:dyDescent="0.3">
      <c r="A42" s="6"/>
      <c r="B42" s="6"/>
      <c r="C42" s="6" t="str">
        <f>IFERROR(VLOOKUP($B42,Projects!$A$2:$G$50,2,FALSE),"")</f>
        <v/>
      </c>
      <c r="D42" s="6" t="str">
        <f>IFERROR(VLOOKUP($B42,Projects!$A$2:$G$50,3,FALSE),"")</f>
        <v/>
      </c>
      <c r="E42" s="6" t="str">
        <f>IFERROR(VLOOKUP($B42,Projects!$A$2:$G$50,4,FALSE),"")</f>
        <v/>
      </c>
      <c r="F42" s="6" t="str">
        <f>IFERROR(VLOOKUP($B42,Projects!$A$2:$G$50,5,FALSE),"")</f>
        <v/>
      </c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</row>
    <row r="43" spans="1:18" x14ac:dyDescent="0.3">
      <c r="A43" s="6"/>
      <c r="B43" s="6"/>
      <c r="C43" s="6" t="str">
        <f>IFERROR(VLOOKUP($B43,Projects!$A$2:$G$50,2,FALSE),"")</f>
        <v/>
      </c>
      <c r="D43" s="6" t="str">
        <f>IFERROR(VLOOKUP($B43,Projects!$A$2:$G$50,3,FALSE),"")</f>
        <v/>
      </c>
      <c r="E43" s="6" t="str">
        <f>IFERROR(VLOOKUP($B43,Projects!$A$2:$G$50,4,FALSE),"")</f>
        <v/>
      </c>
      <c r="F43" s="6" t="str">
        <f>IFERROR(VLOOKUP($B43,Projects!$A$2:$G$50,5,FALSE),"")</f>
        <v/>
      </c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</row>
    <row r="44" spans="1:18" x14ac:dyDescent="0.3">
      <c r="A44" s="6"/>
      <c r="B44" s="6"/>
      <c r="C44" s="6" t="str">
        <f>IFERROR(VLOOKUP($B44,Projects!$A$2:$G$50,2,FALSE),"")</f>
        <v/>
      </c>
      <c r="D44" s="6" t="str">
        <f>IFERROR(VLOOKUP($B44,Projects!$A$2:$G$50,3,FALSE),"")</f>
        <v/>
      </c>
      <c r="E44" s="6" t="str">
        <f>IFERROR(VLOOKUP($B44,Projects!$A$2:$G$50,4,FALSE),"")</f>
        <v/>
      </c>
      <c r="F44" s="6" t="str">
        <f>IFERROR(VLOOKUP($B44,Projects!$A$2:$G$50,5,FALSE),"")</f>
        <v/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</row>
    <row r="45" spans="1:18" x14ac:dyDescent="0.3">
      <c r="A45" s="6"/>
      <c r="B45" s="6"/>
      <c r="C45" s="6" t="str">
        <f>IFERROR(VLOOKUP($B45,Projects!$A$2:$G$50,2,FALSE),"")</f>
        <v/>
      </c>
      <c r="D45" s="6" t="str">
        <f>IFERROR(VLOOKUP($B45,Projects!$A$2:$G$50,3,FALSE),"")</f>
        <v/>
      </c>
      <c r="E45" s="6" t="str">
        <f>IFERROR(VLOOKUP($B45,Projects!$A$2:$G$50,4,FALSE),"")</f>
        <v/>
      </c>
      <c r="F45" s="6" t="str">
        <f>IFERROR(VLOOKUP($B45,Projects!$A$2:$G$50,5,FALSE),"")</f>
        <v/>
      </c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</row>
    <row r="46" spans="1:18" x14ac:dyDescent="0.3">
      <c r="A46" s="6"/>
      <c r="B46" s="6"/>
      <c r="C46" s="6" t="str">
        <f>IFERROR(VLOOKUP($B46,Projects!$A$2:$G$50,2,FALSE),"")</f>
        <v/>
      </c>
      <c r="D46" s="6" t="str">
        <f>IFERROR(VLOOKUP($B46,Projects!$A$2:$G$50,3,FALSE),"")</f>
        <v/>
      </c>
      <c r="E46" s="6" t="str">
        <f>IFERROR(VLOOKUP($B46,Projects!$A$2:$G$50,4,FALSE),"")</f>
        <v/>
      </c>
      <c r="F46" s="6" t="str">
        <f>IFERROR(VLOOKUP($B46,Projects!$A$2:$G$50,5,FALSE),"")</f>
        <v/>
      </c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</row>
    <row r="47" spans="1:18" x14ac:dyDescent="0.3">
      <c r="A47" s="6"/>
      <c r="B47" s="6"/>
      <c r="C47" s="6" t="str">
        <f>IFERROR(VLOOKUP($B47,Projects!$A$2:$G$50,2,FALSE),"")</f>
        <v/>
      </c>
      <c r="D47" s="6" t="str">
        <f>IFERROR(VLOOKUP($B47,Projects!$A$2:$G$50,3,FALSE),"")</f>
        <v/>
      </c>
      <c r="E47" s="6" t="str">
        <f>IFERROR(VLOOKUP($B47,Projects!$A$2:$G$50,4,FALSE),"")</f>
        <v/>
      </c>
      <c r="F47" s="6" t="str">
        <f>IFERROR(VLOOKUP($B47,Projects!$A$2:$G$50,5,FALSE),"")</f>
        <v/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</row>
    <row r="48" spans="1:18" x14ac:dyDescent="0.3">
      <c r="A48" s="6"/>
      <c r="B48" s="6"/>
      <c r="C48" s="6" t="str">
        <f>IFERROR(VLOOKUP($B48,Projects!$A$2:$G$50,2,FALSE),"")</f>
        <v/>
      </c>
      <c r="D48" s="6" t="str">
        <f>IFERROR(VLOOKUP($B48,Projects!$A$2:$G$50,3,FALSE),"")</f>
        <v/>
      </c>
      <c r="E48" s="6" t="str">
        <f>IFERROR(VLOOKUP($B48,Projects!$A$2:$G$50,4,FALSE),"")</f>
        <v/>
      </c>
      <c r="F48" s="6" t="str">
        <f>IFERROR(VLOOKUP($B48,Projects!$A$2:$G$50,5,FALSE),"")</f>
        <v/>
      </c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</row>
    <row r="49" spans="1:18" x14ac:dyDescent="0.3">
      <c r="A49" s="6"/>
      <c r="B49" s="6"/>
      <c r="C49" s="6" t="str">
        <f>IFERROR(VLOOKUP($B49,Projects!$A$2:$G$50,2,FALSE),"")</f>
        <v/>
      </c>
      <c r="D49" s="6" t="str">
        <f>IFERROR(VLOOKUP($B49,Projects!$A$2:$G$50,3,FALSE),"")</f>
        <v/>
      </c>
      <c r="E49" s="6" t="str">
        <f>IFERROR(VLOOKUP($B49,Projects!$A$2:$G$50,4,FALSE),"")</f>
        <v/>
      </c>
      <c r="F49" s="6" t="str">
        <f>IFERROR(VLOOKUP($B49,Projects!$A$2:$G$50,5,FALSE),"")</f>
        <v/>
      </c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</row>
    <row r="50" spans="1:18" x14ac:dyDescent="0.3">
      <c r="A50" s="6"/>
      <c r="B50" s="6"/>
      <c r="C50" s="6" t="str">
        <f>IFERROR(VLOOKUP($B50,Projects!$A$2:$G$50,2,FALSE),"")</f>
        <v/>
      </c>
      <c r="D50" s="6" t="str">
        <f>IFERROR(VLOOKUP($B50,Projects!$A$2:$G$50,3,FALSE),"")</f>
        <v/>
      </c>
      <c r="E50" s="6" t="str">
        <f>IFERROR(VLOOKUP($B50,Projects!$A$2:$G$50,4,FALSE),"")</f>
        <v/>
      </c>
      <c r="F50" s="6" t="str">
        <f>IFERROR(VLOOKUP($B50,Projects!$A$2:$G$50,5,FALSE),"")</f>
        <v/>
      </c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</row>
    <row r="51" spans="1:18" x14ac:dyDescent="0.3">
      <c r="A51" s="6"/>
      <c r="B51" s="6"/>
      <c r="C51" s="6" t="str">
        <f>IFERROR(VLOOKUP($B51,Projects!$A$2:$G$50,2,FALSE),"")</f>
        <v/>
      </c>
      <c r="D51" s="6" t="str">
        <f>IFERROR(VLOOKUP($B51,Projects!$A$2:$G$50,3,FALSE),"")</f>
        <v/>
      </c>
      <c r="E51" s="6" t="str">
        <f>IFERROR(VLOOKUP($B51,Projects!$A$2:$G$50,4,FALSE),"")</f>
        <v/>
      </c>
      <c r="F51" s="6" t="str">
        <f>IFERROR(VLOOKUP($B51,Projects!$A$2:$G$50,5,FALSE),"")</f>
        <v/>
      </c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</row>
    <row r="52" spans="1:18" x14ac:dyDescent="0.3">
      <c r="A52" s="6"/>
      <c r="B52" s="6"/>
      <c r="C52" s="6" t="str">
        <f>IFERROR(VLOOKUP($B52,Projects!$A$2:$G$50,2,FALSE),"")</f>
        <v/>
      </c>
      <c r="D52" s="6" t="str">
        <f>IFERROR(VLOOKUP($B52,Projects!$A$2:$G$50,3,FALSE),"")</f>
        <v/>
      </c>
      <c r="E52" s="6" t="str">
        <f>IFERROR(VLOOKUP($B52,Projects!$A$2:$G$50,4,FALSE),"")</f>
        <v/>
      </c>
      <c r="F52" s="6" t="str">
        <f>IFERROR(VLOOKUP($B52,Projects!$A$2:$G$50,5,FALSE),"")</f>
        <v/>
      </c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</row>
  </sheetData>
  <conditionalFormatting sqref="G3:R200">
    <cfRule type="expression" dxfId="26" priority="1">
      <formula>OR(G$1&lt;$E3,G$1&gt;$F3)</formula>
    </cfRule>
  </conditionalFormatting>
  <dataValidations count="3">
    <dataValidation type="list" allowBlank="1" sqref="A3:A200" xr:uid="{00000000-0002-0000-0300-000000000000}">
      <formula1>DevelopersList</formula1>
    </dataValidation>
    <dataValidation type="list" allowBlank="1" sqref="B3:B200" xr:uid="{00000000-0002-0000-0300-000001000000}">
      <formula1>ProjectsList</formula1>
    </dataValidation>
    <dataValidation type="custom" allowBlank="1" showErrorMessage="1" errorTitle="Invalid effort entry" error="Enter a value 0..1 only within the project's active months; leave other months blank." sqref="G3:R200" xr:uid="{00000000-0002-0000-0300-000002000000}">
      <formula1>IF(AND(G$1&gt;=$E3,G$1&lt;=$F3),AND(G3&gt;=0,G3&lt;=1),G3="")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9"/>
  <sheetViews>
    <sheetView tabSelected="1" workbookViewId="0">
      <pane xSplit="1" ySplit="3" topLeftCell="B19" activePane="bottomRight" state="frozen"/>
      <selection pane="topRight"/>
      <selection pane="bottomLeft"/>
      <selection pane="bottomRight" activeCell="Q35" sqref="Q35"/>
    </sheetView>
  </sheetViews>
  <sheetFormatPr defaultRowHeight="14.4" x14ac:dyDescent="0.3"/>
  <cols>
    <col min="1" max="1" width="32" customWidth="1"/>
    <col min="2" max="13" width="8" customWidth="1"/>
  </cols>
  <sheetData>
    <row r="1" spans="1:13" ht="18" x14ac:dyDescent="0.35">
      <c r="A1" s="10" t="s">
        <v>42</v>
      </c>
    </row>
    <row r="3" spans="1:13" x14ac:dyDescent="0.3">
      <c r="A3" s="5" t="s">
        <v>25</v>
      </c>
      <c r="B3" s="5" t="s">
        <v>11</v>
      </c>
      <c r="C3" s="5" t="s">
        <v>13</v>
      </c>
      <c r="D3" s="5" t="s">
        <v>15</v>
      </c>
      <c r="E3" s="5" t="s">
        <v>16</v>
      </c>
      <c r="F3" s="5" t="s">
        <v>17</v>
      </c>
      <c r="G3" s="5" t="s">
        <v>18</v>
      </c>
      <c r="H3" s="5" t="s">
        <v>19</v>
      </c>
      <c r="I3" s="5" t="s">
        <v>20</v>
      </c>
      <c r="J3" s="5" t="s">
        <v>21</v>
      </c>
      <c r="K3" s="5" t="s">
        <v>22</v>
      </c>
      <c r="L3" s="5" t="s">
        <v>23</v>
      </c>
      <c r="M3" s="5" t="s">
        <v>24</v>
      </c>
    </row>
    <row r="4" spans="1:13" x14ac:dyDescent="0.3">
      <c r="A4" s="11" t="str">
        <f>IF(Projects!A2="","",Projects!A2)</f>
        <v>Project A</v>
      </c>
      <c r="B4" s="12">
        <f>IF($A4="","",SUMIFS(Allocations!G3:G200,Allocations!$B3:$B200,$A4))</f>
        <v>0.5</v>
      </c>
      <c r="C4" s="12">
        <f>IF($A4="","",SUMIFS(Allocations!H3:H200,Allocations!$B3:$B200,$A4))</f>
        <v>0.75</v>
      </c>
      <c r="D4" s="12">
        <f>IF($A4="","",SUMIFS(Allocations!I3:I200,Allocations!$B3:$B200,$A4))</f>
        <v>0.75</v>
      </c>
      <c r="E4" s="12">
        <f>IF($A4="","",SUMIFS(Allocations!J3:J200,Allocations!$B3:$B200,$A4))</f>
        <v>0</v>
      </c>
      <c r="F4" s="12">
        <f>IF($A4="","",SUMIFS(Allocations!K3:K200,Allocations!$B3:$B200,$A4))</f>
        <v>0</v>
      </c>
      <c r="G4" s="12">
        <f>IF($A4="","",SUMIFS(Allocations!L3:L200,Allocations!$B3:$B200,$A4))</f>
        <v>0</v>
      </c>
      <c r="H4" s="12">
        <f>IF($A4="","",SUMIFS(Allocations!M3:M200,Allocations!$B3:$B200,$A4))</f>
        <v>0</v>
      </c>
      <c r="I4" s="12">
        <f>IF($A4="","",SUMIFS(Allocations!N3:N200,Allocations!$B3:$B200,$A4))</f>
        <v>0</v>
      </c>
      <c r="J4" s="12">
        <f>IF($A4="","",SUMIFS(Allocations!O3:O200,Allocations!$B3:$B200,$A4))</f>
        <v>0</v>
      </c>
      <c r="K4" s="12">
        <f>IF($A4="","",SUMIFS(Allocations!P3:P200,Allocations!$B3:$B200,$A4))</f>
        <v>0</v>
      </c>
      <c r="L4" s="12">
        <f>IF($A4="","",SUMIFS(Allocations!Q3:Q200,Allocations!$B3:$B200,$A4))</f>
        <v>0</v>
      </c>
      <c r="M4" s="12">
        <f>IF($A4="","",SUMIFS(Allocations!R3:R200,Allocations!$B3:$B200,$A4))</f>
        <v>0</v>
      </c>
    </row>
    <row r="5" spans="1:13" x14ac:dyDescent="0.3">
      <c r="A5" s="11" t="str">
        <f>IF(Projects!A3="","",Projects!A3)</f>
        <v>Project B</v>
      </c>
      <c r="B5" s="12">
        <f>IF($A5="","",SUMIFS(Allocations!G3:G200,Allocations!$B3:$B200,$A5))</f>
        <v>0.25</v>
      </c>
      <c r="C5" s="12">
        <f>IF($A5="","",SUMIFS(Allocations!H3:H200,Allocations!$B3:$B200,$A5))</f>
        <v>0.25</v>
      </c>
      <c r="D5" s="12">
        <f>IF($A5="","",SUMIFS(Allocations!I3:I200,Allocations!$B3:$B200,$A5))</f>
        <v>0.25</v>
      </c>
      <c r="E5" s="12">
        <f>IF($A5="","",SUMIFS(Allocations!J3:J200,Allocations!$B3:$B200,$A5))</f>
        <v>0.5</v>
      </c>
      <c r="F5" s="12">
        <f>IF($A5="","",SUMIFS(Allocations!K3:K200,Allocations!$B3:$B200,$A5))</f>
        <v>0.5</v>
      </c>
      <c r="G5" s="12">
        <f>IF($A5="","",SUMIFS(Allocations!L3:L200,Allocations!$B3:$B200,$A5))</f>
        <v>0</v>
      </c>
      <c r="H5" s="12">
        <f>IF($A5="","",SUMIFS(Allocations!M3:M200,Allocations!$B3:$B200,$A5))</f>
        <v>0</v>
      </c>
      <c r="I5" s="12">
        <f>IF($A5="","",SUMIFS(Allocations!N3:N200,Allocations!$B3:$B200,$A5))</f>
        <v>0</v>
      </c>
      <c r="J5" s="12">
        <f>IF($A5="","",SUMIFS(Allocations!O3:O200,Allocations!$B3:$B200,$A5))</f>
        <v>0</v>
      </c>
      <c r="K5" s="12">
        <f>IF($A5="","",SUMIFS(Allocations!P3:P200,Allocations!$B3:$B200,$A5))</f>
        <v>0</v>
      </c>
      <c r="L5" s="12">
        <f>IF($A5="","",SUMIFS(Allocations!Q3:Q200,Allocations!$B3:$B200,$A5))</f>
        <v>0</v>
      </c>
      <c r="M5" s="12">
        <f>IF($A5="","",SUMIFS(Allocations!R3:R200,Allocations!$B3:$B200,$A5))</f>
        <v>0</v>
      </c>
    </row>
    <row r="6" spans="1:13" x14ac:dyDescent="0.3">
      <c r="A6" s="11" t="str">
        <f>IF(Projects!A4="","",Projects!A4)</f>
        <v>Project C</v>
      </c>
      <c r="B6" s="12">
        <f>IF($A6="","",SUMIFS(Allocations!G3:G200,Allocations!$B3:$B200,$A6))</f>
        <v>0.5</v>
      </c>
      <c r="C6" s="12">
        <f>IF($A6="","",SUMIFS(Allocations!H3:H200,Allocations!$B3:$B200,$A6))</f>
        <v>0.5</v>
      </c>
      <c r="D6" s="12">
        <f>IF($A6="","",SUMIFS(Allocations!I3:I200,Allocations!$B3:$B200,$A6))</f>
        <v>0</v>
      </c>
      <c r="E6" s="12">
        <f>IF($A6="","",SUMIFS(Allocations!J3:J200,Allocations!$B3:$B200,$A6))</f>
        <v>0</v>
      </c>
      <c r="F6" s="12">
        <f>IF($A6="","",SUMIFS(Allocations!K3:K200,Allocations!$B3:$B200,$A6))</f>
        <v>0</v>
      </c>
      <c r="G6" s="12">
        <f>IF($A6="","",SUMIFS(Allocations!L3:L200,Allocations!$B3:$B200,$A6))</f>
        <v>0</v>
      </c>
      <c r="H6" s="12">
        <f>IF($A6="","",SUMIFS(Allocations!M3:M200,Allocations!$B3:$B200,$A6))</f>
        <v>0</v>
      </c>
      <c r="I6" s="12">
        <f>IF($A6="","",SUMIFS(Allocations!N3:N200,Allocations!$B3:$B200,$A6))</f>
        <v>0</v>
      </c>
      <c r="J6" s="12">
        <f>IF($A6="","",SUMIFS(Allocations!O3:O200,Allocations!$B3:$B200,$A6))</f>
        <v>0</v>
      </c>
      <c r="K6" s="12">
        <f>IF($A6="","",SUMIFS(Allocations!P3:P200,Allocations!$B3:$B200,$A6))</f>
        <v>0</v>
      </c>
      <c r="L6" s="12">
        <f>IF($A6="","",SUMIFS(Allocations!Q3:Q200,Allocations!$B3:$B200,$A6))</f>
        <v>0</v>
      </c>
      <c r="M6" s="12">
        <f>IF($A6="","",SUMIFS(Allocations!R3:R200,Allocations!$B3:$B200,$A6))</f>
        <v>0</v>
      </c>
    </row>
    <row r="7" spans="1:13" x14ac:dyDescent="0.3">
      <c r="A7" s="11" t="str">
        <f>IF(Projects!A5="","",Projects!A5)</f>
        <v>Project D</v>
      </c>
      <c r="B7" s="12">
        <f>IF($A7="","",SUMIFS(Allocations!G3:G200,Allocations!$B3:$B200,$A7))</f>
        <v>0</v>
      </c>
      <c r="C7" s="12">
        <f>IF($A7="","",SUMIFS(Allocations!H3:H200,Allocations!$B3:$B200,$A7))</f>
        <v>0</v>
      </c>
      <c r="D7" s="12">
        <f>IF($A7="","",SUMIFS(Allocations!I3:I200,Allocations!$B3:$B200,$A7))</f>
        <v>0</v>
      </c>
      <c r="E7" s="12">
        <f>IF($A7="","",SUMIFS(Allocations!J3:J200,Allocations!$B3:$B200,$A7))</f>
        <v>0</v>
      </c>
      <c r="F7" s="12">
        <f>IF($A7="","",SUMIFS(Allocations!K3:K200,Allocations!$B3:$B200,$A7))</f>
        <v>0</v>
      </c>
      <c r="G7" s="12">
        <f>IF($A7="","",SUMIFS(Allocations!L3:L200,Allocations!$B3:$B200,$A7))</f>
        <v>0</v>
      </c>
      <c r="H7" s="12">
        <f>IF($A7="","",SUMIFS(Allocations!M3:M200,Allocations!$B3:$B200,$A7))</f>
        <v>0.5</v>
      </c>
      <c r="I7" s="12">
        <f>IF($A7="","",SUMIFS(Allocations!N3:N200,Allocations!$B3:$B200,$A7))</f>
        <v>0.75</v>
      </c>
      <c r="J7" s="12">
        <f>IF($A7="","",SUMIFS(Allocations!O3:O200,Allocations!$B3:$B200,$A7))</f>
        <v>0.5</v>
      </c>
      <c r="K7" s="12">
        <f>IF($A7="","",SUMIFS(Allocations!P3:P200,Allocations!$B3:$B200,$A7))</f>
        <v>0</v>
      </c>
      <c r="L7" s="12">
        <f>IF($A7="","",SUMIFS(Allocations!Q3:Q200,Allocations!$B3:$B200,$A7))</f>
        <v>0</v>
      </c>
      <c r="M7" s="12">
        <f>IF($A7="","",SUMIFS(Allocations!R3:R200,Allocations!$B3:$B200,$A7))</f>
        <v>0</v>
      </c>
    </row>
    <row r="8" spans="1:13" x14ac:dyDescent="0.3">
      <c r="A8" s="11" t="str">
        <f>IF(Projects!A6="","",Projects!A6)</f>
        <v>Project E</v>
      </c>
      <c r="B8" s="12">
        <f>IF($A8="","",SUMIFS(Allocations!G3:G200,Allocations!$B3:$B200,$A8))</f>
        <v>0</v>
      </c>
      <c r="C8" s="12">
        <f>IF($A8="","",SUMIFS(Allocations!H3:H200,Allocations!$B3:$B200,$A8))</f>
        <v>0</v>
      </c>
      <c r="D8" s="12">
        <f>IF($A8="","",SUMIFS(Allocations!I3:I200,Allocations!$B3:$B200,$A8))</f>
        <v>0</v>
      </c>
      <c r="E8" s="12">
        <f>IF($A8="","",SUMIFS(Allocations!J3:J200,Allocations!$B3:$B200,$A8))</f>
        <v>0</v>
      </c>
      <c r="F8" s="12">
        <f>IF($A8="","",SUMIFS(Allocations!K3:K200,Allocations!$B3:$B200,$A8))</f>
        <v>0</v>
      </c>
      <c r="G8" s="12">
        <f>IF($A8="","",SUMIFS(Allocations!L3:L200,Allocations!$B3:$B200,$A8))</f>
        <v>0</v>
      </c>
      <c r="H8" s="12">
        <f>IF($A8="","",SUMIFS(Allocations!M3:M200,Allocations!$B3:$B200,$A8))</f>
        <v>0</v>
      </c>
      <c r="I8" s="12">
        <f>IF($A8="","",SUMIFS(Allocations!N3:N200,Allocations!$B3:$B200,$A8))</f>
        <v>0</v>
      </c>
      <c r="J8" s="12">
        <f>IF($A8="","",SUMIFS(Allocations!O3:O200,Allocations!$B3:$B200,$A8))</f>
        <v>0</v>
      </c>
      <c r="K8" s="12">
        <f>IF($A8="","",SUMIFS(Allocations!P3:P200,Allocations!$B3:$B200,$A8))</f>
        <v>0.75</v>
      </c>
      <c r="L8" s="12">
        <f>IF($A8="","",SUMIFS(Allocations!Q3:Q200,Allocations!$B3:$B200,$A8))</f>
        <v>0.5</v>
      </c>
      <c r="M8" s="12">
        <f>IF($A8="","",SUMIFS(Allocations!R3:R200,Allocations!$B3:$B200,$A8))</f>
        <v>1</v>
      </c>
    </row>
    <row r="9" spans="1:13" x14ac:dyDescent="0.3">
      <c r="A9" s="11" t="str">
        <f>IF(Projects!A7="","",Projects!A7)</f>
        <v>Project F</v>
      </c>
      <c r="B9" s="12">
        <f>IF($A9="","",SUMIFS(Allocations!G3:G200,Allocations!$B3:$B200,$A9))</f>
        <v>0</v>
      </c>
      <c r="C9" s="12">
        <f>IF($A9="","",SUMIFS(Allocations!H3:H200,Allocations!$B3:$B200,$A9))</f>
        <v>0</v>
      </c>
      <c r="D9" s="12">
        <f>IF($A9="","",SUMIFS(Allocations!I3:I200,Allocations!$B3:$B200,$A9))</f>
        <v>0</v>
      </c>
      <c r="E9" s="12">
        <f>IF($A9="","",SUMIFS(Allocations!J3:J200,Allocations!$B3:$B200,$A9))</f>
        <v>0</v>
      </c>
      <c r="F9" s="12">
        <f>IF($A9="","",SUMIFS(Allocations!K3:K200,Allocations!$B3:$B200,$A9))</f>
        <v>0</v>
      </c>
      <c r="G9" s="12">
        <f>IF($A9="","",SUMIFS(Allocations!L3:L200,Allocations!$B3:$B200,$A9))</f>
        <v>0</v>
      </c>
      <c r="H9" s="12">
        <f>IF($A9="","",SUMIFS(Allocations!M3:M200,Allocations!$B3:$B200,$A9))</f>
        <v>0</v>
      </c>
      <c r="I9" s="12">
        <f>IF($A9="","",SUMIFS(Allocations!N3:N200,Allocations!$B3:$B200,$A9))</f>
        <v>0.75</v>
      </c>
      <c r="J9" s="12">
        <f>IF($A9="","",SUMIFS(Allocations!O3:O200,Allocations!$B3:$B200,$A9))</f>
        <v>0.75</v>
      </c>
      <c r="K9" s="12">
        <f>IF($A9="","",SUMIFS(Allocations!P3:P200,Allocations!$B3:$B200,$A9))</f>
        <v>0.75</v>
      </c>
      <c r="L9" s="12">
        <f>IF($A9="","",SUMIFS(Allocations!Q3:Q200,Allocations!$B3:$B200,$A9))</f>
        <v>1.25</v>
      </c>
      <c r="M9" s="12">
        <f>IF($A9="","",SUMIFS(Allocations!R3:R200,Allocations!$B3:$B200,$A9))</f>
        <v>0</v>
      </c>
    </row>
    <row r="10" spans="1:13" x14ac:dyDescent="0.3">
      <c r="A10" s="11" t="str">
        <f>IF(Projects!A8="","",Projects!A8)</f>
        <v/>
      </c>
      <c r="B10" s="12" t="str">
        <f>IF($A10="","",SUMIFS(Allocations!G3:G200,Allocations!$B3:$B200,$A10))</f>
        <v/>
      </c>
      <c r="C10" s="12" t="str">
        <f>IF($A10="","",SUMIFS(Allocations!H3:H200,Allocations!$B3:$B200,$A10))</f>
        <v/>
      </c>
      <c r="D10" s="12" t="str">
        <f>IF($A10="","",SUMIFS(Allocations!I3:I200,Allocations!$B3:$B200,$A10))</f>
        <v/>
      </c>
      <c r="E10" s="12" t="str">
        <f>IF($A10="","",SUMIFS(Allocations!J3:J200,Allocations!$B3:$B200,$A10))</f>
        <v/>
      </c>
      <c r="F10" s="12" t="str">
        <f>IF($A10="","",SUMIFS(Allocations!K3:K200,Allocations!$B3:$B200,$A10))</f>
        <v/>
      </c>
      <c r="G10" s="12" t="str">
        <f>IF($A10="","",SUMIFS(Allocations!L3:L200,Allocations!$B3:$B200,$A10))</f>
        <v/>
      </c>
      <c r="H10" s="12" t="str">
        <f>IF($A10="","",SUMIFS(Allocations!M3:M200,Allocations!$B3:$B200,$A10))</f>
        <v/>
      </c>
      <c r="I10" s="12" t="str">
        <f>IF($A10="","",SUMIFS(Allocations!N3:N200,Allocations!$B3:$B200,$A10))</f>
        <v/>
      </c>
      <c r="J10" s="12" t="str">
        <f>IF($A10="","",SUMIFS(Allocations!O3:O200,Allocations!$B3:$B200,$A10))</f>
        <v/>
      </c>
      <c r="K10" s="12" t="str">
        <f>IF($A10="","",SUMIFS(Allocations!P3:P200,Allocations!$B3:$B200,$A10))</f>
        <v/>
      </c>
      <c r="L10" s="12" t="str">
        <f>IF($A10="","",SUMIFS(Allocations!Q3:Q200,Allocations!$B3:$B200,$A10))</f>
        <v/>
      </c>
      <c r="M10" s="12" t="str">
        <f>IF($A10="","",SUMIFS(Allocations!R3:R200,Allocations!$B3:$B200,$A10))</f>
        <v/>
      </c>
    </row>
    <row r="11" spans="1:13" x14ac:dyDescent="0.3">
      <c r="A11" s="11" t="str">
        <f>IF(Projects!A9="","",Projects!A9)</f>
        <v/>
      </c>
      <c r="B11" s="12" t="str">
        <f>IF($A11="","",SUMIFS(Allocations!G3:G200,Allocations!$B3:$B200,$A11))</f>
        <v/>
      </c>
      <c r="C11" s="12" t="str">
        <f>IF($A11="","",SUMIFS(Allocations!H3:H200,Allocations!$B3:$B200,$A11))</f>
        <v/>
      </c>
      <c r="D11" s="12" t="str">
        <f>IF($A11="","",SUMIFS(Allocations!I3:I200,Allocations!$B3:$B200,$A11))</f>
        <v/>
      </c>
      <c r="E11" s="12" t="str">
        <f>IF($A11="","",SUMIFS(Allocations!J3:J200,Allocations!$B3:$B200,$A11))</f>
        <v/>
      </c>
      <c r="F11" s="12" t="str">
        <f>IF($A11="","",SUMIFS(Allocations!K3:K200,Allocations!$B3:$B200,$A11))</f>
        <v/>
      </c>
      <c r="G11" s="12" t="str">
        <f>IF($A11="","",SUMIFS(Allocations!L3:L200,Allocations!$B3:$B200,$A11))</f>
        <v/>
      </c>
      <c r="H11" s="12" t="str">
        <f>IF($A11="","",SUMIFS(Allocations!M3:M200,Allocations!$B3:$B200,$A11))</f>
        <v/>
      </c>
      <c r="I11" s="12" t="str">
        <f>IF($A11="","",SUMIFS(Allocations!N3:N200,Allocations!$B3:$B200,$A11))</f>
        <v/>
      </c>
      <c r="J11" s="12" t="str">
        <f>IF($A11="","",SUMIFS(Allocations!O3:O200,Allocations!$B3:$B200,$A11))</f>
        <v/>
      </c>
      <c r="K11" s="12" t="str">
        <f>IF($A11="","",SUMIFS(Allocations!P3:P200,Allocations!$B3:$B200,$A11))</f>
        <v/>
      </c>
      <c r="L11" s="12" t="str">
        <f>IF($A11="","",SUMIFS(Allocations!Q3:Q200,Allocations!$B3:$B200,$A11))</f>
        <v/>
      </c>
      <c r="M11" s="12" t="str">
        <f>IF($A11="","",SUMIFS(Allocations!R3:R200,Allocations!$B3:$B200,$A11))</f>
        <v/>
      </c>
    </row>
    <row r="12" spans="1:13" x14ac:dyDescent="0.3">
      <c r="A12" s="11" t="str">
        <f>IF(Projects!A10="","",Projects!A10)</f>
        <v/>
      </c>
      <c r="B12" s="12" t="str">
        <f>IF($A12="","",SUMIFS(Allocations!G3:G200,Allocations!$B3:$B200,$A12))</f>
        <v/>
      </c>
      <c r="C12" s="12" t="str">
        <f>IF($A12="","",SUMIFS(Allocations!H3:H200,Allocations!$B3:$B200,$A12))</f>
        <v/>
      </c>
      <c r="D12" s="12" t="str">
        <f>IF($A12="","",SUMIFS(Allocations!I3:I200,Allocations!$B3:$B200,$A12))</f>
        <v/>
      </c>
      <c r="E12" s="12" t="str">
        <f>IF($A12="","",SUMIFS(Allocations!J3:J200,Allocations!$B3:$B200,$A12))</f>
        <v/>
      </c>
      <c r="F12" s="12" t="str">
        <f>IF($A12="","",SUMIFS(Allocations!K3:K200,Allocations!$B3:$B200,$A12))</f>
        <v/>
      </c>
      <c r="G12" s="12" t="str">
        <f>IF($A12="","",SUMIFS(Allocations!L3:L200,Allocations!$B3:$B200,$A12))</f>
        <v/>
      </c>
      <c r="H12" s="12" t="str">
        <f>IF($A12="","",SUMIFS(Allocations!M3:M200,Allocations!$B3:$B200,$A12))</f>
        <v/>
      </c>
      <c r="I12" s="12" t="str">
        <f>IF($A12="","",SUMIFS(Allocations!N3:N200,Allocations!$B3:$B200,$A12))</f>
        <v/>
      </c>
      <c r="J12" s="12" t="str">
        <f>IF($A12="","",SUMIFS(Allocations!O3:O200,Allocations!$B3:$B200,$A12))</f>
        <v/>
      </c>
      <c r="K12" s="12" t="str">
        <f>IF($A12="","",SUMIFS(Allocations!P3:P200,Allocations!$B3:$B200,$A12))</f>
        <v/>
      </c>
      <c r="L12" s="12" t="str">
        <f>IF($A12="","",SUMIFS(Allocations!Q3:Q200,Allocations!$B3:$B200,$A12))</f>
        <v/>
      </c>
      <c r="M12" s="12" t="str">
        <f>IF($A12="","",SUMIFS(Allocations!R3:R200,Allocations!$B3:$B200,$A12))</f>
        <v/>
      </c>
    </row>
    <row r="13" spans="1:13" x14ac:dyDescent="0.3">
      <c r="A13" s="11" t="str">
        <f>IF(Projects!A11="","",Projects!A11)</f>
        <v/>
      </c>
      <c r="B13" s="12" t="str">
        <f>IF($A13="","",SUMIFS(Allocations!G3:G200,Allocations!$B3:$B200,$A13))</f>
        <v/>
      </c>
      <c r="C13" s="12" t="str">
        <f>IF($A13="","",SUMIFS(Allocations!H3:H200,Allocations!$B3:$B200,$A13))</f>
        <v/>
      </c>
      <c r="D13" s="12" t="str">
        <f>IF($A13="","",SUMIFS(Allocations!I3:I200,Allocations!$B3:$B200,$A13))</f>
        <v/>
      </c>
      <c r="E13" s="12" t="str">
        <f>IF($A13="","",SUMIFS(Allocations!J3:J200,Allocations!$B3:$B200,$A13))</f>
        <v/>
      </c>
      <c r="F13" s="12" t="str">
        <f>IF($A13="","",SUMIFS(Allocations!K3:K200,Allocations!$B3:$B200,$A13))</f>
        <v/>
      </c>
      <c r="G13" s="12" t="str">
        <f>IF($A13="","",SUMIFS(Allocations!L3:L200,Allocations!$B3:$B200,$A13))</f>
        <v/>
      </c>
      <c r="H13" s="12" t="str">
        <f>IF($A13="","",SUMIFS(Allocations!M3:M200,Allocations!$B3:$B200,$A13))</f>
        <v/>
      </c>
      <c r="I13" s="12" t="str">
        <f>IF($A13="","",SUMIFS(Allocations!N3:N200,Allocations!$B3:$B200,$A13))</f>
        <v/>
      </c>
      <c r="J13" s="12" t="str">
        <f>IF($A13="","",SUMIFS(Allocations!O3:O200,Allocations!$B3:$B200,$A13))</f>
        <v/>
      </c>
      <c r="K13" s="12" t="str">
        <f>IF($A13="","",SUMIFS(Allocations!P3:P200,Allocations!$B3:$B200,$A13))</f>
        <v/>
      </c>
      <c r="L13" s="12" t="str">
        <f>IF($A13="","",SUMIFS(Allocations!Q3:Q200,Allocations!$B3:$B200,$A13))</f>
        <v/>
      </c>
      <c r="M13" s="12" t="str">
        <f>IF($A13="","",SUMIFS(Allocations!R3:R200,Allocations!$B3:$B200,$A13))</f>
        <v/>
      </c>
    </row>
    <row r="14" spans="1:13" x14ac:dyDescent="0.3">
      <c r="A14" s="11" t="str">
        <f>IF(Projects!A12="","",Projects!A12)</f>
        <v/>
      </c>
      <c r="B14" s="12" t="str">
        <f>IF($A14="","",SUMIFS(Allocations!G3:G200,Allocations!$B3:$B200,$A14))</f>
        <v/>
      </c>
      <c r="C14" s="12" t="str">
        <f>IF($A14="","",SUMIFS(Allocations!H3:H200,Allocations!$B3:$B200,$A14))</f>
        <v/>
      </c>
      <c r="D14" s="12" t="str">
        <f>IF($A14="","",SUMIFS(Allocations!I3:I200,Allocations!$B3:$B200,$A14))</f>
        <v/>
      </c>
      <c r="E14" s="12" t="str">
        <f>IF($A14="","",SUMIFS(Allocations!J3:J200,Allocations!$B3:$B200,$A14))</f>
        <v/>
      </c>
      <c r="F14" s="12" t="str">
        <f>IF($A14="","",SUMIFS(Allocations!K3:K200,Allocations!$B3:$B200,$A14))</f>
        <v/>
      </c>
      <c r="G14" s="12" t="str">
        <f>IF($A14="","",SUMIFS(Allocations!L3:L200,Allocations!$B3:$B200,$A14))</f>
        <v/>
      </c>
      <c r="H14" s="12" t="str">
        <f>IF($A14="","",SUMIFS(Allocations!M3:M200,Allocations!$B3:$B200,$A14))</f>
        <v/>
      </c>
      <c r="I14" s="12" t="str">
        <f>IF($A14="","",SUMIFS(Allocations!N3:N200,Allocations!$B3:$B200,$A14))</f>
        <v/>
      </c>
      <c r="J14" s="12" t="str">
        <f>IF($A14="","",SUMIFS(Allocations!O3:O200,Allocations!$B3:$B200,$A14))</f>
        <v/>
      </c>
      <c r="K14" s="12" t="str">
        <f>IF($A14="","",SUMIFS(Allocations!P3:P200,Allocations!$B3:$B200,$A14))</f>
        <v/>
      </c>
      <c r="L14" s="12" t="str">
        <f>IF($A14="","",SUMIFS(Allocations!Q3:Q200,Allocations!$B3:$B200,$A14))</f>
        <v/>
      </c>
      <c r="M14" s="12" t="str">
        <f>IF($A14="","",SUMIFS(Allocations!R3:R200,Allocations!$B3:$B200,$A14))</f>
        <v/>
      </c>
    </row>
    <row r="15" spans="1:13" x14ac:dyDescent="0.3">
      <c r="A15" s="11" t="str">
        <f>IF(Projects!A13="","",Projects!A13)</f>
        <v/>
      </c>
      <c r="B15" s="12" t="str">
        <f>IF($A15="","",SUMIFS(Allocations!G3:G200,Allocations!$B3:$B200,$A15))</f>
        <v/>
      </c>
      <c r="C15" s="12" t="str">
        <f>IF($A15="","",SUMIFS(Allocations!H3:H200,Allocations!$B3:$B200,$A15))</f>
        <v/>
      </c>
      <c r="D15" s="12" t="str">
        <f>IF($A15="","",SUMIFS(Allocations!I3:I200,Allocations!$B3:$B200,$A15))</f>
        <v/>
      </c>
      <c r="E15" s="12" t="str">
        <f>IF($A15="","",SUMIFS(Allocations!J3:J200,Allocations!$B3:$B200,$A15))</f>
        <v/>
      </c>
      <c r="F15" s="12" t="str">
        <f>IF($A15="","",SUMIFS(Allocations!K3:K200,Allocations!$B3:$B200,$A15))</f>
        <v/>
      </c>
      <c r="G15" s="12" t="str">
        <f>IF($A15="","",SUMIFS(Allocations!L3:L200,Allocations!$B3:$B200,$A15))</f>
        <v/>
      </c>
      <c r="H15" s="12" t="str">
        <f>IF($A15="","",SUMIFS(Allocations!M3:M200,Allocations!$B3:$B200,$A15))</f>
        <v/>
      </c>
      <c r="I15" s="12" t="str">
        <f>IF($A15="","",SUMIFS(Allocations!N3:N200,Allocations!$B3:$B200,$A15))</f>
        <v/>
      </c>
      <c r="J15" s="12" t="str">
        <f>IF($A15="","",SUMIFS(Allocations!O3:O200,Allocations!$B3:$B200,$A15))</f>
        <v/>
      </c>
      <c r="K15" s="12" t="str">
        <f>IF($A15="","",SUMIFS(Allocations!P3:P200,Allocations!$B3:$B200,$A15))</f>
        <v/>
      </c>
      <c r="L15" s="12" t="str">
        <f>IF($A15="","",SUMIFS(Allocations!Q3:Q200,Allocations!$B3:$B200,$A15))</f>
        <v/>
      </c>
      <c r="M15" s="12" t="str">
        <f>IF($A15="","",SUMIFS(Allocations!R3:R200,Allocations!$B3:$B200,$A15))</f>
        <v/>
      </c>
    </row>
    <row r="16" spans="1:13" x14ac:dyDescent="0.3">
      <c r="A16" s="11" t="str">
        <f>IF(Projects!A14="","",Projects!A14)</f>
        <v/>
      </c>
      <c r="B16" s="12" t="str">
        <f>IF($A16="","",SUMIFS(Allocations!G3:G200,Allocations!$B3:$B200,$A16))</f>
        <v/>
      </c>
      <c r="C16" s="12" t="str">
        <f>IF($A16="","",SUMIFS(Allocations!H3:H200,Allocations!$B3:$B200,$A16))</f>
        <v/>
      </c>
      <c r="D16" s="12" t="str">
        <f>IF($A16="","",SUMIFS(Allocations!I3:I200,Allocations!$B3:$B200,$A16))</f>
        <v/>
      </c>
      <c r="E16" s="12" t="str">
        <f>IF($A16="","",SUMIFS(Allocations!J3:J200,Allocations!$B3:$B200,$A16))</f>
        <v/>
      </c>
      <c r="F16" s="12" t="str">
        <f>IF($A16="","",SUMIFS(Allocations!K3:K200,Allocations!$B3:$B200,$A16))</f>
        <v/>
      </c>
      <c r="G16" s="12" t="str">
        <f>IF($A16="","",SUMIFS(Allocations!L3:L200,Allocations!$B3:$B200,$A16))</f>
        <v/>
      </c>
      <c r="H16" s="12" t="str">
        <f>IF($A16="","",SUMIFS(Allocations!M3:M200,Allocations!$B3:$B200,$A16))</f>
        <v/>
      </c>
      <c r="I16" s="12" t="str">
        <f>IF($A16="","",SUMIFS(Allocations!N3:N200,Allocations!$B3:$B200,$A16))</f>
        <v/>
      </c>
      <c r="J16" s="12" t="str">
        <f>IF($A16="","",SUMIFS(Allocations!O3:O200,Allocations!$B3:$B200,$A16))</f>
        <v/>
      </c>
      <c r="K16" s="12" t="str">
        <f>IF($A16="","",SUMIFS(Allocations!P3:P200,Allocations!$B3:$B200,$A16))</f>
        <v/>
      </c>
      <c r="L16" s="12" t="str">
        <f>IF($A16="","",SUMIFS(Allocations!Q3:Q200,Allocations!$B3:$B200,$A16))</f>
        <v/>
      </c>
      <c r="M16" s="12" t="str">
        <f>IF($A16="","",SUMIFS(Allocations!R3:R200,Allocations!$B3:$B200,$A16))</f>
        <v/>
      </c>
    </row>
    <row r="17" spans="1:13" x14ac:dyDescent="0.3">
      <c r="A17" s="11" t="str">
        <f>IF(Projects!A15="","",Projects!A15)</f>
        <v/>
      </c>
      <c r="B17" s="12" t="str">
        <f>IF($A17="","",SUMIFS(Allocations!G3:G200,Allocations!$B3:$B200,$A17))</f>
        <v/>
      </c>
      <c r="C17" s="12" t="str">
        <f>IF($A17="","",SUMIFS(Allocations!H3:H200,Allocations!$B3:$B200,$A17))</f>
        <v/>
      </c>
      <c r="D17" s="12" t="str">
        <f>IF($A17="","",SUMIFS(Allocations!I3:I200,Allocations!$B3:$B200,$A17))</f>
        <v/>
      </c>
      <c r="E17" s="12" t="str">
        <f>IF($A17="","",SUMIFS(Allocations!J3:J200,Allocations!$B3:$B200,$A17))</f>
        <v/>
      </c>
      <c r="F17" s="12" t="str">
        <f>IF($A17="","",SUMIFS(Allocations!K3:K200,Allocations!$B3:$B200,$A17))</f>
        <v/>
      </c>
      <c r="G17" s="12" t="str">
        <f>IF($A17="","",SUMIFS(Allocations!L3:L200,Allocations!$B3:$B200,$A17))</f>
        <v/>
      </c>
      <c r="H17" s="12" t="str">
        <f>IF($A17="","",SUMIFS(Allocations!M3:M200,Allocations!$B3:$B200,$A17))</f>
        <v/>
      </c>
      <c r="I17" s="12" t="str">
        <f>IF($A17="","",SUMIFS(Allocations!N3:N200,Allocations!$B3:$B200,$A17))</f>
        <v/>
      </c>
      <c r="J17" s="12" t="str">
        <f>IF($A17="","",SUMIFS(Allocations!O3:O200,Allocations!$B3:$B200,$A17))</f>
        <v/>
      </c>
      <c r="K17" s="12" t="str">
        <f>IF($A17="","",SUMIFS(Allocations!P3:P200,Allocations!$B3:$B200,$A17))</f>
        <v/>
      </c>
      <c r="L17" s="12" t="str">
        <f>IF($A17="","",SUMIFS(Allocations!Q3:Q200,Allocations!$B3:$B200,$A17))</f>
        <v/>
      </c>
      <c r="M17" s="12" t="str">
        <f>IF($A17="","",SUMIFS(Allocations!R3:R200,Allocations!$B3:$B200,$A17))</f>
        <v/>
      </c>
    </row>
    <row r="18" spans="1:13" x14ac:dyDescent="0.3">
      <c r="A18" s="11" t="str">
        <f>IF(Projects!A16="","",Projects!A16)</f>
        <v/>
      </c>
      <c r="B18" s="12" t="str">
        <f>IF($A18="","",SUMIFS(Allocations!G3:G200,Allocations!$B3:$B200,$A18))</f>
        <v/>
      </c>
      <c r="C18" s="12" t="str">
        <f>IF($A18="","",SUMIFS(Allocations!H3:H200,Allocations!$B3:$B200,$A18))</f>
        <v/>
      </c>
      <c r="D18" s="12" t="str">
        <f>IF($A18="","",SUMIFS(Allocations!I3:I200,Allocations!$B3:$B200,$A18))</f>
        <v/>
      </c>
      <c r="E18" s="12" t="str">
        <f>IF($A18="","",SUMIFS(Allocations!J3:J200,Allocations!$B3:$B200,$A18))</f>
        <v/>
      </c>
      <c r="F18" s="12" t="str">
        <f>IF($A18="","",SUMIFS(Allocations!K3:K200,Allocations!$B3:$B200,$A18))</f>
        <v/>
      </c>
      <c r="G18" s="12" t="str">
        <f>IF($A18="","",SUMIFS(Allocations!L3:L200,Allocations!$B3:$B200,$A18))</f>
        <v/>
      </c>
      <c r="H18" s="12" t="str">
        <f>IF($A18="","",SUMIFS(Allocations!M3:M200,Allocations!$B3:$B200,$A18))</f>
        <v/>
      </c>
      <c r="I18" s="12" t="str">
        <f>IF($A18="","",SUMIFS(Allocations!N3:N200,Allocations!$B3:$B200,$A18))</f>
        <v/>
      </c>
      <c r="J18" s="12" t="str">
        <f>IF($A18="","",SUMIFS(Allocations!O3:O200,Allocations!$B3:$B200,$A18))</f>
        <v/>
      </c>
      <c r="K18" s="12" t="str">
        <f>IF($A18="","",SUMIFS(Allocations!P3:P200,Allocations!$B3:$B200,$A18))</f>
        <v/>
      </c>
      <c r="L18" s="12" t="str">
        <f>IF($A18="","",SUMIFS(Allocations!Q3:Q200,Allocations!$B3:$B200,$A18))</f>
        <v/>
      </c>
      <c r="M18" s="12" t="str">
        <f>IF($A18="","",SUMIFS(Allocations!R3:R200,Allocations!$B3:$B200,$A18))</f>
        <v/>
      </c>
    </row>
    <row r="19" spans="1:13" x14ac:dyDescent="0.3">
      <c r="A19" s="11" t="str">
        <f>IF(Projects!A17="","",Projects!A17)</f>
        <v/>
      </c>
      <c r="B19" s="12" t="str">
        <f>IF($A19="","",SUMIFS(Allocations!G3:G200,Allocations!$B3:$B200,$A19))</f>
        <v/>
      </c>
      <c r="C19" s="12" t="str">
        <f>IF($A19="","",SUMIFS(Allocations!H3:H200,Allocations!$B3:$B200,$A19))</f>
        <v/>
      </c>
      <c r="D19" s="12" t="str">
        <f>IF($A19="","",SUMIFS(Allocations!I3:I200,Allocations!$B3:$B200,$A19))</f>
        <v/>
      </c>
      <c r="E19" s="12" t="str">
        <f>IF($A19="","",SUMIFS(Allocations!J3:J200,Allocations!$B3:$B200,$A19))</f>
        <v/>
      </c>
      <c r="F19" s="12" t="str">
        <f>IF($A19="","",SUMIFS(Allocations!K3:K200,Allocations!$B3:$B200,$A19))</f>
        <v/>
      </c>
      <c r="G19" s="12" t="str">
        <f>IF($A19="","",SUMIFS(Allocations!L3:L200,Allocations!$B3:$B200,$A19))</f>
        <v/>
      </c>
      <c r="H19" s="12" t="str">
        <f>IF($A19="","",SUMIFS(Allocations!M3:M200,Allocations!$B3:$B200,$A19))</f>
        <v/>
      </c>
      <c r="I19" s="12" t="str">
        <f>IF($A19="","",SUMIFS(Allocations!N3:N200,Allocations!$B3:$B200,$A19))</f>
        <v/>
      </c>
      <c r="J19" s="12" t="str">
        <f>IF($A19="","",SUMIFS(Allocations!O3:O200,Allocations!$B3:$B200,$A19))</f>
        <v/>
      </c>
      <c r="K19" s="12" t="str">
        <f>IF($A19="","",SUMIFS(Allocations!P3:P200,Allocations!$B3:$B200,$A19))</f>
        <v/>
      </c>
      <c r="L19" s="12" t="str">
        <f>IF($A19="","",SUMIFS(Allocations!Q3:Q200,Allocations!$B3:$B200,$A19))</f>
        <v/>
      </c>
      <c r="M19" s="12" t="str">
        <f>IF($A19="","",SUMIFS(Allocations!R3:R200,Allocations!$B3:$B200,$A19))</f>
        <v/>
      </c>
    </row>
    <row r="20" spans="1:13" x14ac:dyDescent="0.3">
      <c r="A20" s="11" t="str">
        <f>IF(Projects!A18="","",Projects!A18)</f>
        <v/>
      </c>
      <c r="B20" s="12" t="str">
        <f>IF($A20="","",SUMIFS(Allocations!G3:G200,Allocations!$B3:$B200,$A20))</f>
        <v/>
      </c>
      <c r="C20" s="12" t="str">
        <f>IF($A20="","",SUMIFS(Allocations!H3:H200,Allocations!$B3:$B200,$A20))</f>
        <v/>
      </c>
      <c r="D20" s="12" t="str">
        <f>IF($A20="","",SUMIFS(Allocations!I3:I200,Allocations!$B3:$B200,$A20))</f>
        <v/>
      </c>
      <c r="E20" s="12" t="str">
        <f>IF($A20="","",SUMIFS(Allocations!J3:J200,Allocations!$B3:$B200,$A20))</f>
        <v/>
      </c>
      <c r="F20" s="12" t="str">
        <f>IF($A20="","",SUMIFS(Allocations!K3:K200,Allocations!$B3:$B200,$A20))</f>
        <v/>
      </c>
      <c r="G20" s="12" t="str">
        <f>IF($A20="","",SUMIFS(Allocations!L3:L200,Allocations!$B3:$B200,$A20))</f>
        <v/>
      </c>
      <c r="H20" s="12" t="str">
        <f>IF($A20="","",SUMIFS(Allocations!M3:M200,Allocations!$B3:$B200,$A20))</f>
        <v/>
      </c>
      <c r="I20" s="12" t="str">
        <f>IF($A20="","",SUMIFS(Allocations!N3:N200,Allocations!$B3:$B200,$A20))</f>
        <v/>
      </c>
      <c r="J20" s="12" t="str">
        <f>IF($A20="","",SUMIFS(Allocations!O3:O200,Allocations!$B3:$B200,$A20))</f>
        <v/>
      </c>
      <c r="K20" s="12" t="str">
        <f>IF($A20="","",SUMIFS(Allocations!P3:P200,Allocations!$B3:$B200,$A20))</f>
        <v/>
      </c>
      <c r="L20" s="12" t="str">
        <f>IF($A20="","",SUMIFS(Allocations!Q3:Q200,Allocations!$B3:$B200,$A20))</f>
        <v/>
      </c>
      <c r="M20" s="12" t="str">
        <f>IF($A20="","",SUMIFS(Allocations!R3:R200,Allocations!$B3:$B200,$A20))</f>
        <v/>
      </c>
    </row>
    <row r="21" spans="1:13" x14ac:dyDescent="0.3">
      <c r="A21" s="11" t="str">
        <f>IF(Projects!A19="","",Projects!A19)</f>
        <v/>
      </c>
      <c r="B21" s="12" t="str">
        <f>IF($A21="","",SUMIFS(Allocations!G3:G200,Allocations!$B3:$B200,$A21))</f>
        <v/>
      </c>
      <c r="C21" s="12" t="str">
        <f>IF($A21="","",SUMIFS(Allocations!H3:H200,Allocations!$B3:$B200,$A21))</f>
        <v/>
      </c>
      <c r="D21" s="12" t="str">
        <f>IF($A21="","",SUMIFS(Allocations!I3:I200,Allocations!$B3:$B200,$A21))</f>
        <v/>
      </c>
      <c r="E21" s="12" t="str">
        <f>IF($A21="","",SUMIFS(Allocations!J3:J200,Allocations!$B3:$B200,$A21))</f>
        <v/>
      </c>
      <c r="F21" s="12" t="str">
        <f>IF($A21="","",SUMIFS(Allocations!K3:K200,Allocations!$B3:$B200,$A21))</f>
        <v/>
      </c>
      <c r="G21" s="12" t="str">
        <f>IF($A21="","",SUMIFS(Allocations!L3:L200,Allocations!$B3:$B200,$A21))</f>
        <v/>
      </c>
      <c r="H21" s="12" t="str">
        <f>IF($A21="","",SUMIFS(Allocations!M3:M200,Allocations!$B3:$B200,$A21))</f>
        <v/>
      </c>
      <c r="I21" s="12" t="str">
        <f>IF($A21="","",SUMIFS(Allocations!N3:N200,Allocations!$B3:$B200,$A21))</f>
        <v/>
      </c>
      <c r="J21" s="12" t="str">
        <f>IF($A21="","",SUMIFS(Allocations!O3:O200,Allocations!$B3:$B200,$A21))</f>
        <v/>
      </c>
      <c r="K21" s="12" t="str">
        <f>IF($A21="","",SUMIFS(Allocations!P3:P200,Allocations!$B3:$B200,$A21))</f>
        <v/>
      </c>
      <c r="L21" s="12" t="str">
        <f>IF($A21="","",SUMIFS(Allocations!Q3:Q200,Allocations!$B3:$B200,$A21))</f>
        <v/>
      </c>
      <c r="M21" s="12" t="str">
        <f>IF($A21="","",SUMIFS(Allocations!R3:R200,Allocations!$B3:$B200,$A21))</f>
        <v/>
      </c>
    </row>
    <row r="22" spans="1:13" x14ac:dyDescent="0.3">
      <c r="A22" s="11" t="str">
        <f>IF(Projects!A20="","",Projects!A20)</f>
        <v/>
      </c>
      <c r="B22" s="12" t="str">
        <f>IF($A22="","",SUMIFS(Allocations!G3:G200,Allocations!$B3:$B200,$A22))</f>
        <v/>
      </c>
      <c r="C22" s="12" t="str">
        <f>IF($A22="","",SUMIFS(Allocations!H3:H200,Allocations!$B3:$B200,$A22))</f>
        <v/>
      </c>
      <c r="D22" s="12" t="str">
        <f>IF($A22="","",SUMIFS(Allocations!I3:I200,Allocations!$B3:$B200,$A22))</f>
        <v/>
      </c>
      <c r="E22" s="12" t="str">
        <f>IF($A22="","",SUMIFS(Allocations!J3:J200,Allocations!$B3:$B200,$A22))</f>
        <v/>
      </c>
      <c r="F22" s="12" t="str">
        <f>IF($A22="","",SUMIFS(Allocations!K3:K200,Allocations!$B3:$B200,$A22))</f>
        <v/>
      </c>
      <c r="G22" s="12" t="str">
        <f>IF($A22="","",SUMIFS(Allocations!L3:L200,Allocations!$B3:$B200,$A22))</f>
        <v/>
      </c>
      <c r="H22" s="12" t="str">
        <f>IF($A22="","",SUMIFS(Allocations!M3:M200,Allocations!$B3:$B200,$A22))</f>
        <v/>
      </c>
      <c r="I22" s="12" t="str">
        <f>IF($A22="","",SUMIFS(Allocations!N3:N200,Allocations!$B3:$B200,$A22))</f>
        <v/>
      </c>
      <c r="J22" s="12" t="str">
        <f>IF($A22="","",SUMIFS(Allocations!O3:O200,Allocations!$B3:$B200,$A22))</f>
        <v/>
      </c>
      <c r="K22" s="12" t="str">
        <f>IF($A22="","",SUMIFS(Allocations!P3:P200,Allocations!$B3:$B200,$A22))</f>
        <v/>
      </c>
      <c r="L22" s="12" t="str">
        <f>IF($A22="","",SUMIFS(Allocations!Q3:Q200,Allocations!$B3:$B200,$A22))</f>
        <v/>
      </c>
      <c r="M22" s="12" t="str">
        <f>IF($A22="","",SUMIFS(Allocations!R3:R200,Allocations!$B3:$B200,$A22))</f>
        <v/>
      </c>
    </row>
    <row r="23" spans="1:13" x14ac:dyDescent="0.3">
      <c r="A23" s="11" t="str">
        <f>IF(Projects!A21="","",Projects!A21)</f>
        <v/>
      </c>
      <c r="B23" s="12" t="str">
        <f>IF($A23="","",SUMIFS(Allocations!G3:G200,Allocations!$B3:$B200,$A23))</f>
        <v/>
      </c>
      <c r="C23" s="12" t="str">
        <f>IF($A23="","",SUMIFS(Allocations!H3:H200,Allocations!$B3:$B200,$A23))</f>
        <v/>
      </c>
      <c r="D23" s="12" t="str">
        <f>IF($A23="","",SUMIFS(Allocations!I3:I200,Allocations!$B3:$B200,$A23))</f>
        <v/>
      </c>
      <c r="E23" s="12" t="str">
        <f>IF($A23="","",SUMIFS(Allocations!J3:J200,Allocations!$B3:$B200,$A23))</f>
        <v/>
      </c>
      <c r="F23" s="12" t="str">
        <f>IF($A23="","",SUMIFS(Allocations!K3:K200,Allocations!$B3:$B200,$A23))</f>
        <v/>
      </c>
      <c r="G23" s="12" t="str">
        <f>IF($A23="","",SUMIFS(Allocations!L3:L200,Allocations!$B3:$B200,$A23))</f>
        <v/>
      </c>
      <c r="H23" s="12" t="str">
        <f>IF($A23="","",SUMIFS(Allocations!M3:M200,Allocations!$B3:$B200,$A23))</f>
        <v/>
      </c>
      <c r="I23" s="12" t="str">
        <f>IF($A23="","",SUMIFS(Allocations!N3:N200,Allocations!$B3:$B200,$A23))</f>
        <v/>
      </c>
      <c r="J23" s="12" t="str">
        <f>IF($A23="","",SUMIFS(Allocations!O3:O200,Allocations!$B3:$B200,$A23))</f>
        <v/>
      </c>
      <c r="K23" s="12" t="str">
        <f>IF($A23="","",SUMIFS(Allocations!P3:P200,Allocations!$B3:$B200,$A23))</f>
        <v/>
      </c>
      <c r="L23" s="12" t="str">
        <f>IF($A23="","",SUMIFS(Allocations!Q3:Q200,Allocations!$B3:$B200,$A23))</f>
        <v/>
      </c>
      <c r="M23" s="12" t="str">
        <f>IF($A23="","",SUMIFS(Allocations!R3:R200,Allocations!$B3:$B200,$A23))</f>
        <v/>
      </c>
    </row>
    <row r="24" spans="1:13" x14ac:dyDescent="0.3">
      <c r="A24" s="13" t="s">
        <v>43</v>
      </c>
      <c r="B24" s="14">
        <f t="shared" ref="B24:M24" si="0">SUM(B4:B23)</f>
        <v>1.25</v>
      </c>
      <c r="C24" s="14">
        <f t="shared" si="0"/>
        <v>1.5</v>
      </c>
      <c r="D24" s="14">
        <f t="shared" si="0"/>
        <v>1</v>
      </c>
      <c r="E24" s="14">
        <f t="shared" si="0"/>
        <v>0.5</v>
      </c>
      <c r="F24" s="14">
        <f t="shared" si="0"/>
        <v>0.5</v>
      </c>
      <c r="G24" s="14">
        <f t="shared" si="0"/>
        <v>0</v>
      </c>
      <c r="H24" s="14">
        <f t="shared" si="0"/>
        <v>0.5</v>
      </c>
      <c r="I24" s="14">
        <f t="shared" si="0"/>
        <v>1.5</v>
      </c>
      <c r="J24" s="14">
        <f t="shared" si="0"/>
        <v>1.25</v>
      </c>
      <c r="K24" s="14">
        <f t="shared" si="0"/>
        <v>1.5</v>
      </c>
      <c r="L24" s="14">
        <f t="shared" si="0"/>
        <v>1.75</v>
      </c>
      <c r="M24" s="14">
        <f t="shared" si="0"/>
        <v>1</v>
      </c>
    </row>
    <row r="27" spans="1:13" ht="18" x14ac:dyDescent="0.35">
      <c r="A27" s="10" t="s">
        <v>44</v>
      </c>
    </row>
    <row r="29" spans="1:13" x14ac:dyDescent="0.3">
      <c r="A29" s="5" t="s">
        <v>41</v>
      </c>
      <c r="B29" s="5" t="s">
        <v>11</v>
      </c>
      <c r="C29" s="5" t="s">
        <v>13</v>
      </c>
      <c r="D29" s="5" t="s">
        <v>15</v>
      </c>
      <c r="E29" s="5" t="s">
        <v>16</v>
      </c>
      <c r="F29" s="5" t="s">
        <v>17</v>
      </c>
      <c r="G29" s="5" t="s">
        <v>18</v>
      </c>
      <c r="H29" s="5" t="s">
        <v>19</v>
      </c>
      <c r="I29" s="5" t="s">
        <v>20</v>
      </c>
      <c r="J29" s="5" t="s">
        <v>21</v>
      </c>
      <c r="K29" s="5" t="s">
        <v>22</v>
      </c>
      <c r="L29" s="5" t="s">
        <v>23</v>
      </c>
      <c r="M29" s="5" t="s">
        <v>24</v>
      </c>
    </row>
    <row r="30" spans="1:13" x14ac:dyDescent="0.3">
      <c r="A30" s="11" t="str">
        <f>IF(Lists!A2="","",Lists!A2)</f>
        <v>Dev 1</v>
      </c>
      <c r="B30" s="12">
        <f>IF($A30="","",SUMIFS(Allocations!G3:G200,Allocations!$A3:$A200,$A30))</f>
        <v>0.75</v>
      </c>
      <c r="C30" s="12">
        <f>IF($A30="","",SUMIFS(Allocations!H3:H200,Allocations!$A3:$A200,$A30))</f>
        <v>0.5</v>
      </c>
      <c r="D30" s="12">
        <f>IF($A30="","",SUMIFS(Allocations!I3:I200,Allocations!$A3:$A200,$A30))</f>
        <v>0.5</v>
      </c>
      <c r="E30" s="12">
        <f>IF($A30="","",SUMIFS(Allocations!J3:J200,Allocations!$A3:$A200,$A30))</f>
        <v>0.5</v>
      </c>
      <c r="F30" s="12">
        <f>IF($A30="","",SUMIFS(Allocations!K3:K200,Allocations!$A3:$A200,$A30))</f>
        <v>0.5</v>
      </c>
      <c r="G30" s="12">
        <f>IF($A30="","",SUMIFS(Allocations!L3:L200,Allocations!$A3:$A200,$A30))</f>
        <v>0</v>
      </c>
      <c r="H30" s="12">
        <f>IF($A30="","",SUMIFS(Allocations!M3:M200,Allocations!$A3:$A200,$A30))</f>
        <v>0.5</v>
      </c>
      <c r="I30" s="12">
        <f>IF($A30="","",SUMIFS(Allocations!N3:N200,Allocations!$A3:$A200,$A30))</f>
        <v>1.25</v>
      </c>
      <c r="J30" s="12">
        <f>IF($A30="","",SUMIFS(Allocations!O3:O200,Allocations!$A3:$A200,$A30))</f>
        <v>1</v>
      </c>
      <c r="K30" s="12">
        <f>IF($A30="","",SUMIFS(Allocations!P3:P200,Allocations!$A3:$A200,$A30))</f>
        <v>0.25</v>
      </c>
      <c r="L30" s="12">
        <f>IF($A30="","",SUMIFS(Allocations!Q3:Q200,Allocations!$A3:$A200,$A30))</f>
        <v>0.5</v>
      </c>
      <c r="M30" s="12">
        <f>IF($A30="","",SUMIFS(Allocations!R3:R200,Allocations!$A3:$A200,$A30))</f>
        <v>0</v>
      </c>
    </row>
    <row r="31" spans="1:13" x14ac:dyDescent="0.3">
      <c r="A31" s="11" t="str">
        <f>IF(Lists!A3="","",Lists!A3)</f>
        <v>Dev 2</v>
      </c>
      <c r="B31" s="12">
        <f>IF($A31="","",SUMIFS(Allocations!G3:G200,Allocations!$A3:$A200,$A31))</f>
        <v>0.5</v>
      </c>
      <c r="C31" s="12">
        <f>IF($A31="","",SUMIFS(Allocations!H3:H200,Allocations!$A3:$A200,$A31))</f>
        <v>1</v>
      </c>
      <c r="D31" s="12">
        <f>IF($A31="","",SUMIFS(Allocations!I3:I200,Allocations!$A3:$A200,$A31))</f>
        <v>0.5</v>
      </c>
      <c r="E31" s="12">
        <f>IF($A31="","",SUMIFS(Allocations!J3:J200,Allocations!$A3:$A200,$A31))</f>
        <v>0</v>
      </c>
      <c r="F31" s="12">
        <f>IF($A31="","",SUMIFS(Allocations!K3:K200,Allocations!$A3:$A200,$A31))</f>
        <v>0</v>
      </c>
      <c r="G31" s="12">
        <f>IF($A31="","",SUMIFS(Allocations!L3:L200,Allocations!$A3:$A200,$A31))</f>
        <v>0</v>
      </c>
      <c r="H31" s="12">
        <f>IF($A31="","",SUMIFS(Allocations!M3:M200,Allocations!$A3:$A200,$A31))</f>
        <v>0</v>
      </c>
      <c r="I31" s="12">
        <f>IF($A31="","",SUMIFS(Allocations!N3:N200,Allocations!$A3:$A200,$A31))</f>
        <v>0.25</v>
      </c>
      <c r="J31" s="12">
        <f>IF($A31="","",SUMIFS(Allocations!O3:O200,Allocations!$A3:$A200,$A31))</f>
        <v>0.25</v>
      </c>
      <c r="K31" s="12">
        <f>IF($A31="","",SUMIFS(Allocations!P3:P200,Allocations!$A3:$A200,$A31))</f>
        <v>1.25</v>
      </c>
      <c r="L31" s="12">
        <f>IF($A31="","",SUMIFS(Allocations!Q3:Q200,Allocations!$A3:$A200,$A31))</f>
        <v>1.25</v>
      </c>
      <c r="M31" s="12">
        <f>IF($A31="","",SUMIFS(Allocations!R3:R200,Allocations!$A3:$A200,$A31))</f>
        <v>1</v>
      </c>
    </row>
    <row r="32" spans="1:13" x14ac:dyDescent="0.3">
      <c r="A32" s="11" t="str">
        <f>IF(Lists!A4="","",Lists!A4)</f>
        <v>Dev 3</v>
      </c>
      <c r="B32" s="12">
        <f>IF($A32="","",SUMIFS(Allocations!G3:G200,Allocations!$A3:$A200,$A32))</f>
        <v>0</v>
      </c>
      <c r="C32" s="12">
        <f>IF($A32="","",SUMIFS(Allocations!H3:H200,Allocations!$A3:$A200,$A32))</f>
        <v>0</v>
      </c>
      <c r="D32" s="12">
        <f>IF($A32="","",SUMIFS(Allocations!I3:I200,Allocations!$A3:$A200,$A32))</f>
        <v>0</v>
      </c>
      <c r="E32" s="12">
        <f>IF($A32="","",SUMIFS(Allocations!J3:J200,Allocations!$A3:$A200,$A32))</f>
        <v>0</v>
      </c>
      <c r="F32" s="12">
        <f>IF($A32="","",SUMIFS(Allocations!K3:K200,Allocations!$A3:$A200,$A32))</f>
        <v>0</v>
      </c>
      <c r="G32" s="12">
        <f>IF($A32="","",SUMIFS(Allocations!L3:L200,Allocations!$A3:$A200,$A32))</f>
        <v>0</v>
      </c>
      <c r="H32" s="12">
        <f>IF($A32="","",SUMIFS(Allocations!M3:M200,Allocations!$A3:$A200,$A32))</f>
        <v>0</v>
      </c>
      <c r="I32" s="12">
        <f>IF($A32="","",SUMIFS(Allocations!N3:N200,Allocations!$A3:$A200,$A32))</f>
        <v>0</v>
      </c>
      <c r="J32" s="12">
        <f>IF($A32="","",SUMIFS(Allocations!O3:O200,Allocations!$A3:$A200,$A32))</f>
        <v>0</v>
      </c>
      <c r="K32" s="12">
        <f>IF($A32="","",SUMIFS(Allocations!P3:P200,Allocations!$A3:$A200,$A32))</f>
        <v>0</v>
      </c>
      <c r="L32" s="12">
        <f>IF($A32="","",SUMIFS(Allocations!Q3:Q200,Allocations!$A3:$A200,$A32))</f>
        <v>0</v>
      </c>
      <c r="M32" s="12">
        <f>IF($A32="","",SUMIFS(Allocations!R3:R200,Allocations!$A3:$A200,$A32))</f>
        <v>0</v>
      </c>
    </row>
    <row r="33" spans="1:13" x14ac:dyDescent="0.3">
      <c r="A33" s="11" t="str">
        <f>IF(Lists!A5="","",Lists!A5)</f>
        <v/>
      </c>
      <c r="B33" s="12" t="str">
        <f>IF($A33="","",SUMIFS(Allocations!G3:G200,Allocations!$A3:$A200,$A33))</f>
        <v/>
      </c>
      <c r="C33" s="12" t="str">
        <f>IF($A33="","",SUMIFS(Allocations!H3:H200,Allocations!$A3:$A200,$A33))</f>
        <v/>
      </c>
      <c r="D33" s="12" t="str">
        <f>IF($A33="","",SUMIFS(Allocations!I3:I200,Allocations!$A3:$A200,$A33))</f>
        <v/>
      </c>
      <c r="E33" s="12" t="str">
        <f>IF($A33="","",SUMIFS(Allocations!J3:J200,Allocations!$A3:$A200,$A33))</f>
        <v/>
      </c>
      <c r="F33" s="12" t="str">
        <f>IF($A33="","",SUMIFS(Allocations!K3:K200,Allocations!$A3:$A200,$A33))</f>
        <v/>
      </c>
      <c r="G33" s="12" t="str">
        <f>IF($A33="","",SUMIFS(Allocations!L3:L200,Allocations!$A3:$A200,$A33))</f>
        <v/>
      </c>
      <c r="H33" s="12" t="str">
        <f>IF($A33="","",SUMIFS(Allocations!M3:M200,Allocations!$A3:$A200,$A33))</f>
        <v/>
      </c>
      <c r="I33" s="12" t="str">
        <f>IF($A33="","",SUMIFS(Allocations!N3:N200,Allocations!$A3:$A200,$A33))</f>
        <v/>
      </c>
      <c r="J33" s="12" t="str">
        <f>IF($A33="","",SUMIFS(Allocations!O3:O200,Allocations!$A3:$A200,$A33))</f>
        <v/>
      </c>
      <c r="K33" s="12" t="str">
        <f>IF($A33="","",SUMIFS(Allocations!P3:P200,Allocations!$A3:$A200,$A33))</f>
        <v/>
      </c>
      <c r="L33" s="12" t="str">
        <f>IF($A33="","",SUMIFS(Allocations!Q3:Q200,Allocations!$A3:$A200,$A33))</f>
        <v/>
      </c>
      <c r="M33" s="12" t="str">
        <f>IF($A33="","",SUMIFS(Allocations!R3:R200,Allocations!$A3:$A200,$A33))</f>
        <v/>
      </c>
    </row>
    <row r="34" spans="1:13" x14ac:dyDescent="0.3">
      <c r="A34" s="11" t="str">
        <f>IF(Lists!A6="","",Lists!A6)</f>
        <v/>
      </c>
      <c r="B34" s="12" t="str">
        <f>IF($A34="","",SUMIFS(Allocations!G3:G200,Allocations!$A3:$A200,$A34))</f>
        <v/>
      </c>
      <c r="C34" s="12" t="str">
        <f>IF($A34="","",SUMIFS(Allocations!H3:H200,Allocations!$A3:$A200,$A34))</f>
        <v/>
      </c>
      <c r="D34" s="12" t="str">
        <f>IF($A34="","",SUMIFS(Allocations!I3:I200,Allocations!$A3:$A200,$A34))</f>
        <v/>
      </c>
      <c r="E34" s="12" t="str">
        <f>IF($A34="","",SUMIFS(Allocations!J3:J200,Allocations!$A3:$A200,$A34))</f>
        <v/>
      </c>
      <c r="F34" s="12" t="str">
        <f>IF($A34="","",SUMIFS(Allocations!K3:K200,Allocations!$A3:$A200,$A34))</f>
        <v/>
      </c>
      <c r="G34" s="12" t="str">
        <f>IF($A34="","",SUMIFS(Allocations!L3:L200,Allocations!$A3:$A200,$A34))</f>
        <v/>
      </c>
      <c r="H34" s="12" t="str">
        <f>IF($A34="","",SUMIFS(Allocations!M3:M200,Allocations!$A3:$A200,$A34))</f>
        <v/>
      </c>
      <c r="I34" s="12" t="str">
        <f>IF($A34="","",SUMIFS(Allocations!N3:N200,Allocations!$A3:$A200,$A34))</f>
        <v/>
      </c>
      <c r="J34" s="12" t="str">
        <f>IF($A34="","",SUMIFS(Allocations!O3:O200,Allocations!$A3:$A200,$A34))</f>
        <v/>
      </c>
      <c r="K34" s="12" t="str">
        <f>IF($A34="","",SUMIFS(Allocations!P3:P200,Allocations!$A3:$A200,$A34))</f>
        <v/>
      </c>
      <c r="L34" s="12" t="str">
        <f>IF($A34="","",SUMIFS(Allocations!Q3:Q200,Allocations!$A3:$A200,$A34))</f>
        <v/>
      </c>
      <c r="M34" s="12" t="str">
        <f>IF($A34="","",SUMIFS(Allocations!R3:R200,Allocations!$A3:$A200,$A34))</f>
        <v/>
      </c>
    </row>
    <row r="35" spans="1:13" x14ac:dyDescent="0.3">
      <c r="A35" s="11" t="str">
        <f>IF(Lists!A7="","",Lists!A7)</f>
        <v/>
      </c>
      <c r="B35" s="12" t="str">
        <f>IF($A35="","",SUMIFS(Allocations!G3:G200,Allocations!$A3:$A200,$A35))</f>
        <v/>
      </c>
      <c r="C35" s="12" t="str">
        <f>IF($A35="","",SUMIFS(Allocations!H3:H200,Allocations!$A3:$A200,$A35))</f>
        <v/>
      </c>
      <c r="D35" s="12" t="str">
        <f>IF($A35="","",SUMIFS(Allocations!I3:I200,Allocations!$A3:$A200,$A35))</f>
        <v/>
      </c>
      <c r="E35" s="12" t="str">
        <f>IF($A35="","",SUMIFS(Allocations!J3:J200,Allocations!$A3:$A200,$A35))</f>
        <v/>
      </c>
      <c r="F35" s="12" t="str">
        <f>IF($A35="","",SUMIFS(Allocations!K3:K200,Allocations!$A3:$A200,$A35))</f>
        <v/>
      </c>
      <c r="G35" s="12" t="str">
        <f>IF($A35="","",SUMIFS(Allocations!L3:L200,Allocations!$A3:$A200,$A35))</f>
        <v/>
      </c>
      <c r="H35" s="12" t="str">
        <f>IF($A35="","",SUMIFS(Allocations!M3:M200,Allocations!$A3:$A200,$A35))</f>
        <v/>
      </c>
      <c r="I35" s="12" t="str">
        <f>IF($A35="","",SUMIFS(Allocations!N3:N200,Allocations!$A3:$A200,$A35))</f>
        <v/>
      </c>
      <c r="J35" s="12" t="str">
        <f>IF($A35="","",SUMIFS(Allocations!O3:O200,Allocations!$A3:$A200,$A35))</f>
        <v/>
      </c>
      <c r="K35" s="12" t="str">
        <f>IF($A35="","",SUMIFS(Allocations!P3:P200,Allocations!$A3:$A200,$A35))</f>
        <v/>
      </c>
      <c r="L35" s="12" t="str">
        <f>IF($A35="","",SUMIFS(Allocations!Q3:Q200,Allocations!$A3:$A200,$A35))</f>
        <v/>
      </c>
      <c r="M35" s="12" t="str">
        <f>IF($A35="","",SUMIFS(Allocations!R3:R200,Allocations!$A3:$A200,$A35))</f>
        <v/>
      </c>
    </row>
    <row r="36" spans="1:13" x14ac:dyDescent="0.3">
      <c r="A36" s="11" t="str">
        <f>IF(Lists!A8="","",Lists!A8)</f>
        <v/>
      </c>
      <c r="B36" s="12" t="str">
        <f>IF($A36="","",SUMIFS(Allocations!G3:G200,Allocations!$A3:$A200,$A36))</f>
        <v/>
      </c>
      <c r="C36" s="12" t="str">
        <f>IF($A36="","",SUMIFS(Allocations!H3:H200,Allocations!$A3:$A200,$A36))</f>
        <v/>
      </c>
      <c r="D36" s="12" t="str">
        <f>IF($A36="","",SUMIFS(Allocations!I3:I200,Allocations!$A3:$A200,$A36))</f>
        <v/>
      </c>
      <c r="E36" s="12" t="str">
        <f>IF($A36="","",SUMIFS(Allocations!J3:J200,Allocations!$A3:$A200,$A36))</f>
        <v/>
      </c>
      <c r="F36" s="12" t="str">
        <f>IF($A36="","",SUMIFS(Allocations!K3:K200,Allocations!$A3:$A200,$A36))</f>
        <v/>
      </c>
      <c r="G36" s="12" t="str">
        <f>IF($A36="","",SUMIFS(Allocations!L3:L200,Allocations!$A3:$A200,$A36))</f>
        <v/>
      </c>
      <c r="H36" s="12" t="str">
        <f>IF($A36="","",SUMIFS(Allocations!M3:M200,Allocations!$A3:$A200,$A36))</f>
        <v/>
      </c>
      <c r="I36" s="12" t="str">
        <f>IF($A36="","",SUMIFS(Allocations!N3:N200,Allocations!$A3:$A200,$A36))</f>
        <v/>
      </c>
      <c r="J36" s="12" t="str">
        <f>IF($A36="","",SUMIFS(Allocations!O3:O200,Allocations!$A3:$A200,$A36))</f>
        <v/>
      </c>
      <c r="K36" s="12" t="str">
        <f>IF($A36="","",SUMIFS(Allocations!P3:P200,Allocations!$A3:$A200,$A36))</f>
        <v/>
      </c>
      <c r="L36" s="12" t="str">
        <f>IF($A36="","",SUMIFS(Allocations!Q3:Q200,Allocations!$A3:$A200,$A36))</f>
        <v/>
      </c>
      <c r="M36" s="12" t="str">
        <f>IF($A36="","",SUMIFS(Allocations!R3:R200,Allocations!$A3:$A200,$A36))</f>
        <v/>
      </c>
    </row>
    <row r="37" spans="1:13" x14ac:dyDescent="0.3">
      <c r="A37" s="11" t="str">
        <f>IF(Lists!A9="","",Lists!A9)</f>
        <v/>
      </c>
      <c r="B37" s="12" t="str">
        <f>IF($A37="","",SUMIFS(Allocations!G3:G200,Allocations!$A3:$A200,$A37))</f>
        <v/>
      </c>
      <c r="C37" s="12" t="str">
        <f>IF($A37="","",SUMIFS(Allocations!H3:H200,Allocations!$A3:$A200,$A37))</f>
        <v/>
      </c>
      <c r="D37" s="12" t="str">
        <f>IF($A37="","",SUMIFS(Allocations!I3:I200,Allocations!$A3:$A200,$A37))</f>
        <v/>
      </c>
      <c r="E37" s="12" t="str">
        <f>IF($A37="","",SUMIFS(Allocations!J3:J200,Allocations!$A3:$A200,$A37))</f>
        <v/>
      </c>
      <c r="F37" s="12" t="str">
        <f>IF($A37="","",SUMIFS(Allocations!K3:K200,Allocations!$A3:$A200,$A37))</f>
        <v/>
      </c>
      <c r="G37" s="12" t="str">
        <f>IF($A37="","",SUMIFS(Allocations!L3:L200,Allocations!$A3:$A200,$A37))</f>
        <v/>
      </c>
      <c r="H37" s="12" t="str">
        <f>IF($A37="","",SUMIFS(Allocations!M3:M200,Allocations!$A3:$A200,$A37))</f>
        <v/>
      </c>
      <c r="I37" s="12" t="str">
        <f>IF($A37="","",SUMIFS(Allocations!N3:N200,Allocations!$A3:$A200,$A37))</f>
        <v/>
      </c>
      <c r="J37" s="12" t="str">
        <f>IF($A37="","",SUMIFS(Allocations!O3:O200,Allocations!$A3:$A200,$A37))</f>
        <v/>
      </c>
      <c r="K37" s="12" t="str">
        <f>IF($A37="","",SUMIFS(Allocations!P3:P200,Allocations!$A3:$A200,$A37))</f>
        <v/>
      </c>
      <c r="L37" s="12" t="str">
        <f>IF($A37="","",SUMIFS(Allocations!Q3:Q200,Allocations!$A3:$A200,$A37))</f>
        <v/>
      </c>
      <c r="M37" s="12" t="str">
        <f>IF($A37="","",SUMIFS(Allocations!R3:R200,Allocations!$A3:$A200,$A37))</f>
        <v/>
      </c>
    </row>
    <row r="38" spans="1:13" x14ac:dyDescent="0.3">
      <c r="A38" s="11" t="str">
        <f>IF(Lists!A10="","",Lists!A10)</f>
        <v/>
      </c>
      <c r="B38" s="12" t="str">
        <f>IF($A38="","",SUMIFS(Allocations!G3:G200,Allocations!$A3:$A200,$A38))</f>
        <v/>
      </c>
      <c r="C38" s="12" t="str">
        <f>IF($A38="","",SUMIFS(Allocations!H3:H200,Allocations!$A3:$A200,$A38))</f>
        <v/>
      </c>
      <c r="D38" s="12" t="str">
        <f>IF($A38="","",SUMIFS(Allocations!I3:I200,Allocations!$A3:$A200,$A38))</f>
        <v/>
      </c>
      <c r="E38" s="12" t="str">
        <f>IF($A38="","",SUMIFS(Allocations!J3:J200,Allocations!$A3:$A200,$A38))</f>
        <v/>
      </c>
      <c r="F38" s="12" t="str">
        <f>IF($A38="","",SUMIFS(Allocations!K3:K200,Allocations!$A3:$A200,$A38))</f>
        <v/>
      </c>
      <c r="G38" s="12" t="str">
        <f>IF($A38="","",SUMIFS(Allocations!L3:L200,Allocations!$A3:$A200,$A38))</f>
        <v/>
      </c>
      <c r="H38" s="12" t="str">
        <f>IF($A38="","",SUMIFS(Allocations!M3:M200,Allocations!$A3:$A200,$A38))</f>
        <v/>
      </c>
      <c r="I38" s="12" t="str">
        <f>IF($A38="","",SUMIFS(Allocations!N3:N200,Allocations!$A3:$A200,$A38))</f>
        <v/>
      </c>
      <c r="J38" s="12" t="str">
        <f>IF($A38="","",SUMIFS(Allocations!O3:O200,Allocations!$A3:$A200,$A38))</f>
        <v/>
      </c>
      <c r="K38" s="12" t="str">
        <f>IF($A38="","",SUMIFS(Allocations!P3:P200,Allocations!$A3:$A200,$A38))</f>
        <v/>
      </c>
      <c r="L38" s="12" t="str">
        <f>IF($A38="","",SUMIFS(Allocations!Q3:Q200,Allocations!$A3:$A200,$A38))</f>
        <v/>
      </c>
      <c r="M38" s="12" t="str">
        <f>IF($A38="","",SUMIFS(Allocations!R3:R200,Allocations!$A3:$A200,$A38))</f>
        <v/>
      </c>
    </row>
    <row r="39" spans="1:13" x14ac:dyDescent="0.3">
      <c r="A39" s="11" t="str">
        <f>IF(Lists!A11="","",Lists!A11)</f>
        <v/>
      </c>
      <c r="B39" s="12" t="str">
        <f>IF($A39="","",SUMIFS(Allocations!G3:G200,Allocations!$A3:$A200,$A39))</f>
        <v/>
      </c>
      <c r="C39" s="12" t="str">
        <f>IF($A39="","",SUMIFS(Allocations!H3:H200,Allocations!$A3:$A200,$A39))</f>
        <v/>
      </c>
      <c r="D39" s="12" t="str">
        <f>IF($A39="","",SUMIFS(Allocations!I3:I200,Allocations!$A3:$A200,$A39))</f>
        <v/>
      </c>
      <c r="E39" s="12" t="str">
        <f>IF($A39="","",SUMIFS(Allocations!J3:J200,Allocations!$A3:$A200,$A39))</f>
        <v/>
      </c>
      <c r="F39" s="12" t="str">
        <f>IF($A39="","",SUMIFS(Allocations!K3:K200,Allocations!$A3:$A200,$A39))</f>
        <v/>
      </c>
      <c r="G39" s="12" t="str">
        <f>IF($A39="","",SUMIFS(Allocations!L3:L200,Allocations!$A3:$A200,$A39))</f>
        <v/>
      </c>
      <c r="H39" s="12" t="str">
        <f>IF($A39="","",SUMIFS(Allocations!M3:M200,Allocations!$A3:$A200,$A39))</f>
        <v/>
      </c>
      <c r="I39" s="12" t="str">
        <f>IF($A39="","",SUMIFS(Allocations!N3:N200,Allocations!$A3:$A200,$A39))</f>
        <v/>
      </c>
      <c r="J39" s="12" t="str">
        <f>IF($A39="","",SUMIFS(Allocations!O3:O200,Allocations!$A3:$A200,$A39))</f>
        <v/>
      </c>
      <c r="K39" s="12" t="str">
        <f>IF($A39="","",SUMIFS(Allocations!P3:P200,Allocations!$A3:$A200,$A39))</f>
        <v/>
      </c>
      <c r="L39" s="12" t="str">
        <f>IF($A39="","",SUMIFS(Allocations!Q3:Q200,Allocations!$A3:$A200,$A39))</f>
        <v/>
      </c>
      <c r="M39" s="12" t="str">
        <f>IF($A39="","",SUMIFS(Allocations!R3:R200,Allocations!$A3:$A200,$A39))</f>
        <v/>
      </c>
    </row>
  </sheetData>
  <conditionalFormatting sqref="B30:M39">
    <cfRule type="expression" dxfId="3" priority="4">
      <formula>AND(B30&lt;&gt;"",B30&gt;1)</formula>
    </cfRule>
    <cfRule type="cellIs" dxfId="5" priority="5" operator="equal">
      <formula>1</formula>
    </cfRule>
    <cfRule type="cellIs" dxfId="4" priority="6" operator="lessThan">
      <formula>1</formula>
    </cfRule>
  </conditionalFormatting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Instructions</vt:lpstr>
      <vt:lpstr>Lists</vt:lpstr>
      <vt:lpstr>Projects</vt:lpstr>
      <vt:lpstr>Allocations</vt:lpstr>
      <vt:lpstr>Summary</vt:lpstr>
      <vt:lpstr>DevelopersList</vt:lpstr>
      <vt:lpstr>MonthsList</vt:lpstr>
      <vt:lpstr>ProjectsList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Narayana Vadivu Anand</cp:lastModifiedBy>
  <dcterms:created xsi:type="dcterms:W3CDTF">2025-12-31T10:12:35Z</dcterms:created>
  <dcterms:modified xsi:type="dcterms:W3CDTF">2025-12-31T10:39:00Z</dcterms:modified>
</cp:coreProperties>
</file>